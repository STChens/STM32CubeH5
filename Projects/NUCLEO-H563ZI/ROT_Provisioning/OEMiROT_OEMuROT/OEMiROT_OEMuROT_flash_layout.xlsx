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\Cube\Cube1\STM32CubeH5\Projects\NUCLEO-H563ZI\ROT_Provisioning\OEMiROT_OEMuROT\"/>
    </mc:Choice>
  </mc:AlternateContent>
  <xr:revisionPtr revIDLastSave="0" documentId="13_ncr:1_{838F360E-8C81-4281-B10E-EF18D625C36C}" xr6:coauthVersionLast="47" xr6:coauthVersionMax="47" xr10:uidLastSave="{00000000-0000-0000-0000-000000000000}"/>
  <bookViews>
    <workbookView xWindow="-28965" yWindow="-165" windowWidth="29130" windowHeight="15810" xr2:uid="{973ADE99-8809-4282-875C-44A8EA15E93C}"/>
  </bookViews>
  <sheets>
    <sheet name="OEMiROT+OEMuROT Flash 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C16" i="1"/>
  <c r="C17" i="1" s="1"/>
  <c r="C15" i="1"/>
  <c r="D15" i="1" s="1"/>
  <c r="F37" i="1"/>
  <c r="H37" i="1" s="1"/>
  <c r="F24" i="1"/>
  <c r="F30" i="1"/>
  <c r="C30" i="1"/>
  <c r="D30" i="1" s="1"/>
  <c r="E30" i="1" s="1"/>
  <c r="H29" i="1"/>
  <c r="I29" i="1" s="1"/>
  <c r="D29" i="1"/>
  <c r="E29" i="1" s="1"/>
  <c r="B9" i="1"/>
  <c r="F22" i="1" s="1"/>
  <c r="H22" i="1" s="1"/>
  <c r="I22" i="1" s="1"/>
  <c r="H24" i="1"/>
  <c r="G24" i="1" s="1"/>
  <c r="B11" i="1"/>
  <c r="F18" i="1" s="1"/>
  <c r="F21" i="1" s="1"/>
  <c r="H14" i="1"/>
  <c r="I14" i="1" s="1"/>
  <c r="F17" i="1"/>
  <c r="H17" i="1" s="1"/>
  <c r="I17" i="1" s="1"/>
  <c r="D14" i="1"/>
  <c r="E14" i="1" s="1"/>
  <c r="D17" i="1" l="1"/>
  <c r="C18" i="1"/>
  <c r="C19" i="1" s="1"/>
  <c r="D16" i="1"/>
  <c r="E15" i="1"/>
  <c r="F16" i="1"/>
  <c r="H15" i="1"/>
  <c r="F31" i="1"/>
  <c r="G29" i="1"/>
  <c r="F35" i="1"/>
  <c r="H35" i="1" s="1"/>
  <c r="I35" i="1" s="1"/>
  <c r="G37" i="1"/>
  <c r="I37" i="1"/>
  <c r="H32" i="1"/>
  <c r="F33" i="1"/>
  <c r="H33" i="1" s="1"/>
  <c r="H30" i="1"/>
  <c r="C31" i="1"/>
  <c r="E17" i="1"/>
  <c r="G17" i="1"/>
  <c r="G14" i="1"/>
  <c r="G22" i="1"/>
  <c r="I24" i="1"/>
  <c r="H18" i="1"/>
  <c r="D18" i="1" l="1"/>
  <c r="F20" i="1"/>
  <c r="H20" i="1" s="1"/>
  <c r="H16" i="1"/>
  <c r="G15" i="1"/>
  <c r="I15" i="1"/>
  <c r="E16" i="1"/>
  <c r="G35" i="1"/>
  <c r="F34" i="1"/>
  <c r="H34" i="1" s="1"/>
  <c r="H31" i="1"/>
  <c r="G32" i="1"/>
  <c r="I32" i="1"/>
  <c r="I33" i="1"/>
  <c r="G33" i="1"/>
  <c r="I30" i="1"/>
  <c r="G30" i="1"/>
  <c r="C32" i="1"/>
  <c r="D31" i="1"/>
  <c r="E31" i="1" s="1"/>
  <c r="I18" i="1"/>
  <c r="G18" i="1"/>
  <c r="H21" i="1"/>
  <c r="H36" i="1" l="1"/>
  <c r="F36" i="1" s="1"/>
  <c r="C20" i="1"/>
  <c r="C21" i="1" s="1"/>
  <c r="C22" i="1" s="1"/>
  <c r="G16" i="1"/>
  <c r="I16" i="1"/>
  <c r="I31" i="1"/>
  <c r="G31" i="1"/>
  <c r="G34" i="1"/>
  <c r="I34" i="1"/>
  <c r="D32" i="1"/>
  <c r="E32" i="1" s="1"/>
  <c r="C33" i="1"/>
  <c r="I20" i="1"/>
  <c r="G20" i="1"/>
  <c r="I21" i="1"/>
  <c r="G21" i="1"/>
  <c r="H19" i="1"/>
  <c r="H23" i="1" s="1"/>
  <c r="D19" i="1"/>
  <c r="H38" i="1" l="1"/>
  <c r="G36" i="1"/>
  <c r="I36" i="1"/>
  <c r="G38" i="1"/>
  <c r="F38" i="1"/>
  <c r="I38" i="1"/>
  <c r="C34" i="1"/>
  <c r="D33" i="1"/>
  <c r="E33" i="1" s="1"/>
  <c r="I19" i="1"/>
  <c r="G19" i="1"/>
  <c r="G23" i="1"/>
  <c r="E18" i="1" l="1"/>
  <c r="D20" i="1"/>
  <c r="D34" i="1"/>
  <c r="E34" i="1" s="1"/>
  <c r="C35" i="1"/>
  <c r="D35" i="1" s="1"/>
  <c r="E35" i="1" s="1"/>
  <c r="F23" i="1"/>
  <c r="I23" i="1"/>
  <c r="H25" i="1"/>
  <c r="G25" i="1" s="1"/>
  <c r="E19" i="1" l="1"/>
  <c r="D21" i="1"/>
  <c r="E21" i="1" s="1"/>
  <c r="D22" i="1"/>
  <c r="I25" i="1"/>
  <c r="F25" i="1"/>
  <c r="E22" i="1" l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tc={E2B6AAF7-D7F2-41B2-BC0F-44162A34E3C2}</author>
    <author>tc={C782EF7C-234D-4A58-A172-7955C6803B86}</author>
  </authors>
  <commentList>
    <comment ref="B9" authorId="0" shapeId="0" xr:uid="{E2B6AAF7-D7F2-41B2-BC0F-44162A34E3C2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multiple of size of 4 pages because write protection is in unit of 4 pages</t>
      </text>
    </comment>
    <comment ref="B11" authorId="1" shapeId="0" xr:uid="{C782EF7C-234D-4A58-A172-7955C6803B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multiple of page size</t>
      </text>
    </comment>
  </commentList>
</comments>
</file>

<file path=xl/sharedStrings.xml><?xml version="1.0" encoding="utf-8"?>
<sst xmlns="http://schemas.openxmlformats.org/spreadsheetml/2006/main" count="102" uniqueCount="41">
  <si>
    <t>offset</t>
  </si>
  <si>
    <t>start</t>
  </si>
  <si>
    <t>BL2</t>
  </si>
  <si>
    <t>AREA ID</t>
  </si>
  <si>
    <t>FLASH_BASE</t>
  </si>
  <si>
    <t>PRIMARY_ONLY</t>
  </si>
  <si>
    <t>N</t>
  </si>
  <si>
    <t>OVERWRITE_ONLY</t>
  </si>
  <si>
    <t>SCRATCH</t>
  </si>
  <si>
    <t>SCRTACH</t>
  </si>
  <si>
    <t>LOADER</t>
  </si>
  <si>
    <t>Y</t>
  </si>
  <si>
    <t>App Active</t>
  </si>
  <si>
    <t>App Download</t>
  </si>
  <si>
    <t>Data Active</t>
  </si>
  <si>
    <t>Data Download</t>
  </si>
  <si>
    <t>Total size</t>
  </si>
  <si>
    <t>FLASH_SIZE</t>
  </si>
  <si>
    <t>DATA IMAGE SIZE</t>
  </si>
  <si>
    <t>FLASH PAGE SIZE</t>
  </si>
  <si>
    <t>LOADER SIZE</t>
  </si>
  <si>
    <t xml:space="preserve"> </t>
  </si>
  <si>
    <t>Total size Max</t>
  </si>
  <si>
    <t>size (B hex)</t>
  </si>
  <si>
    <t>size (B dec)</t>
  </si>
  <si>
    <t>Remaining free size</t>
  </si>
  <si>
    <t>size (KB)</t>
  </si>
  <si>
    <t>Area purpose</t>
  </si>
  <si>
    <t>WRP</t>
  </si>
  <si>
    <t>HDP</t>
  </si>
  <si>
    <t>Nb pages</t>
  </si>
  <si>
    <t>end</t>
  </si>
  <si>
    <t>Must be used if PRIMARY ONLY is Y</t>
  </si>
  <si>
    <t>DATA IMAGE SLOT</t>
  </si>
  <si>
    <t>UART Ymodem loader as example</t>
  </si>
  <si>
    <t>Must be multiple of page size (2000)</t>
  </si>
  <si>
    <t>App Active (Max)</t>
  </si>
  <si>
    <t>App Download (Max)</t>
  </si>
  <si>
    <t>OEMiROT</t>
  </si>
  <si>
    <t>OEMUROT (active)</t>
  </si>
  <si>
    <t>OEMUROT (Download)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</si>
</sst>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ny CHEN" id="{2390A384-3AA0-4A70-A3FD-56E9548FD135}" userId="S::sunny.chen@st.com::a300bb7f-0dc8-4f82-8096-8f7ada5fd4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2-02T06:26:47.24" personId="{2390A384-3AA0-4A70-A3FD-56E9548FD135}" id="{E2B6AAF7-D7F2-41B2-BC0F-44162A34E3C2}">
    <text>Must be multiple of size of 4 pages because write protection is in unit of 4 pages</text>
  </threadedComment>
  <threadedComment ref="B11" dT="2026-02-02T06:27:12.60" personId="{2390A384-3AA0-4A70-A3FD-56E9548FD135}" id="{C782EF7C-234D-4A58-A172-7955C6803B86}">
    <text>Must be multiple of page size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E003-AB81-416D-8FF7-83C8B34AB91C}">
  <dimension ref="A1:L38"/>
  <sheetViews>
    <sheetView tabSelected="1" topLeftCell="A3" workbookViewId="0">
      <selection activeCell="R17" sqref="R17"/>
    </sheetView>
  </sheetViews>
  <sheetFormatPr defaultRowHeight="15" x14ac:dyDescent="0.25"/>
  <cols>
    <col min="1" max="1" width="21.42578125" bestFit="1" customWidth="1"/>
    <col min="6" max="6" width="11.28515625" bestFit="1" customWidth="1"/>
    <col min="7" max="7" width="8.7109375" bestFit="1" customWidth="1"/>
    <col min="8" max="8" width="11.28515625" bestFit="1" customWidth="1"/>
    <col min="9" max="9" width="9.28515625" bestFit="1" customWidth="1"/>
    <col min="10" max="10" width="5.28515625" bestFit="1" customWidth="1"/>
    <col min="11" max="11" width="5" bestFit="1" customWidth="1"/>
    <col min="12" max="12" width="5" customWidth="1"/>
    <col min="13" max="16" width="5.28515625" customWidth="1"/>
  </cols>
  <sheetData>
    <row r="1" spans="1:12" hidden="1" x14ac:dyDescent="0.25">
      <c r="B1" s="4" t="s">
        <v>11</v>
      </c>
    </row>
    <row r="2" spans="1:12" hidden="1" x14ac:dyDescent="0.25">
      <c r="B2" s="4" t="s">
        <v>6</v>
      </c>
    </row>
    <row r="3" spans="1:12" x14ac:dyDescent="0.25">
      <c r="A3" s="5" t="s">
        <v>4</v>
      </c>
      <c r="B3" s="6">
        <v>8000000</v>
      </c>
    </row>
    <row r="4" spans="1:12" x14ac:dyDescent="0.25">
      <c r="A4" s="5" t="s">
        <v>17</v>
      </c>
      <c r="B4" s="6">
        <v>200000</v>
      </c>
    </row>
    <row r="5" spans="1:12" x14ac:dyDescent="0.25">
      <c r="A5" s="5" t="s">
        <v>19</v>
      </c>
      <c r="B5" s="6">
        <v>2000</v>
      </c>
    </row>
    <row r="6" spans="1:12" x14ac:dyDescent="0.25">
      <c r="A6" t="s">
        <v>5</v>
      </c>
      <c r="B6" s="4" t="s">
        <v>6</v>
      </c>
    </row>
    <row r="7" spans="1:12" x14ac:dyDescent="0.25">
      <c r="A7" t="s">
        <v>7</v>
      </c>
      <c r="B7" s="4" t="s">
        <v>11</v>
      </c>
      <c r="C7" t="s">
        <v>32</v>
      </c>
    </row>
    <row r="8" spans="1:12" x14ac:dyDescent="0.25">
      <c r="A8" t="s">
        <v>10</v>
      </c>
      <c r="B8" s="4" t="s">
        <v>11</v>
      </c>
      <c r="C8" t="s">
        <v>34</v>
      </c>
    </row>
    <row r="9" spans="1:12" x14ac:dyDescent="0.25">
      <c r="A9" t="s">
        <v>20</v>
      </c>
      <c r="B9" s="1">
        <f>IF(($B$8="Y"),8000,0)</f>
        <v>8000</v>
      </c>
    </row>
    <row r="10" spans="1:12" x14ac:dyDescent="0.25">
      <c r="A10" t="s">
        <v>33</v>
      </c>
      <c r="B10" s="4" t="s">
        <v>6</v>
      </c>
    </row>
    <row r="11" spans="1:12" x14ac:dyDescent="0.25">
      <c r="A11" t="s">
        <v>18</v>
      </c>
      <c r="B11" s="4">
        <f>IF(($B$10="Y"),$B$5,0)</f>
        <v>0</v>
      </c>
      <c r="C11" t="s">
        <v>35</v>
      </c>
    </row>
    <row r="12" spans="1:12" x14ac:dyDescent="0.25">
      <c r="B12" s="4"/>
    </row>
    <row r="13" spans="1:12" x14ac:dyDescent="0.25">
      <c r="A13" s="12" t="s">
        <v>27</v>
      </c>
      <c r="B13" s="7" t="s">
        <v>3</v>
      </c>
      <c r="C13" s="7" t="s">
        <v>0</v>
      </c>
      <c r="D13" s="7" t="s">
        <v>1</v>
      </c>
      <c r="E13" s="7" t="s">
        <v>31</v>
      </c>
      <c r="F13" s="7" t="s">
        <v>23</v>
      </c>
      <c r="G13" s="7" t="s">
        <v>26</v>
      </c>
      <c r="H13" s="7" t="s">
        <v>24</v>
      </c>
      <c r="I13" s="7" t="s">
        <v>30</v>
      </c>
      <c r="J13" s="12" t="s">
        <v>28</v>
      </c>
      <c r="K13" s="12" t="s">
        <v>29</v>
      </c>
      <c r="L13" s="6"/>
    </row>
    <row r="14" spans="1:12" x14ac:dyDescent="0.25">
      <c r="A14" s="8" t="s">
        <v>38</v>
      </c>
      <c r="B14" s="3" t="s">
        <v>2</v>
      </c>
      <c r="C14" s="3">
        <v>0</v>
      </c>
      <c r="D14" s="3" t="str">
        <f>DEC2HEX(HEX2DEC($B$3)+HEX2DEC(C14))</f>
        <v>8000000</v>
      </c>
      <c r="E14" s="3" t="str">
        <f>DEC2HEX(HEX2DEC(D14)+HEX2DEC(F14)-1)</f>
        <v>8017FFF</v>
      </c>
      <c r="F14" s="8">
        <v>18000</v>
      </c>
      <c r="G14" s="3">
        <f>H14/1024</f>
        <v>96</v>
      </c>
      <c r="H14" s="2">
        <f>HEX2DEC(F14)</f>
        <v>98304</v>
      </c>
      <c r="I14" s="13">
        <f>H14/HEX2DEC($B$5)</f>
        <v>12</v>
      </c>
      <c r="J14" s="13" t="s">
        <v>11</v>
      </c>
      <c r="K14" s="13" t="s">
        <v>11</v>
      </c>
      <c r="L14" s="4"/>
    </row>
    <row r="15" spans="1:12" x14ac:dyDescent="0.25">
      <c r="A15" s="8" t="s">
        <v>39</v>
      </c>
      <c r="B15" s="3">
        <v>0</v>
      </c>
      <c r="C15" s="3" t="str">
        <f>DEC2HEX(HEX2DEC(C14)+HEX2DEC(F14))</f>
        <v>18000</v>
      </c>
      <c r="D15" s="3" t="str">
        <f>DEC2HEX(HEX2DEC($B$3)+HEX2DEC(C15))</f>
        <v>8018000</v>
      </c>
      <c r="E15" s="3" t="str">
        <f>DEC2HEX(HEX2DEC(D15)+HEX2DEC(F15)-1)</f>
        <v>8029FFF</v>
      </c>
      <c r="F15" s="8">
        <v>12000</v>
      </c>
      <c r="G15" s="3">
        <f>H15/1024</f>
        <v>72</v>
      </c>
      <c r="H15" s="2">
        <f>HEX2DEC(F15)</f>
        <v>73728</v>
      </c>
      <c r="I15" s="13">
        <f>H15/HEX2DEC($B$5)</f>
        <v>9</v>
      </c>
      <c r="J15" s="13" t="s">
        <v>6</v>
      </c>
      <c r="K15" s="13" t="s">
        <v>6</v>
      </c>
      <c r="L15" s="4"/>
    </row>
    <row r="16" spans="1:12" x14ac:dyDescent="0.25">
      <c r="A16" s="8" t="s">
        <v>40</v>
      </c>
      <c r="B16" s="3">
        <v>2</v>
      </c>
      <c r="C16" s="3" t="str">
        <f t="shared" ref="C16:C22" si="0">DEC2HEX(HEX2DEC(C15)+HEX2DEC(F15))</f>
        <v>2A000</v>
      </c>
      <c r="D16" s="3" t="str">
        <f t="shared" ref="D16:D22" si="1">DEC2HEX(HEX2DEC($B$3)+HEX2DEC(C16))</f>
        <v>802A000</v>
      </c>
      <c r="E16" s="3" t="str">
        <f>DEC2HEX(HEX2DEC(D16)+HEX2DEC(F16)-1)</f>
        <v>803BFFF</v>
      </c>
      <c r="F16" s="8">
        <f>F15</f>
        <v>12000</v>
      </c>
      <c r="G16" s="3">
        <f>H16/1024</f>
        <v>72</v>
      </c>
      <c r="H16" s="2">
        <f>HEX2DEC(F16)</f>
        <v>73728</v>
      </c>
      <c r="I16" s="13">
        <f>H16/HEX2DEC($B$5)</f>
        <v>9</v>
      </c>
      <c r="J16" s="13" t="s">
        <v>6</v>
      </c>
      <c r="K16" s="13" t="s">
        <v>6</v>
      </c>
      <c r="L16" s="4"/>
    </row>
    <row r="17" spans="1:12" x14ac:dyDescent="0.25">
      <c r="A17" s="8" t="s">
        <v>8</v>
      </c>
      <c r="B17" s="3" t="s">
        <v>9</v>
      </c>
      <c r="C17" s="3" t="str">
        <f t="shared" si="0"/>
        <v>3C000</v>
      </c>
      <c r="D17" s="3" t="str">
        <f t="shared" si="1"/>
        <v>803C000</v>
      </c>
      <c r="E17" s="3" t="str">
        <f t="shared" ref="E17:E22" si="2">DEC2HEX(HEX2DEC(D17)+HEX2DEC(F17)-1)</f>
        <v>803BFFF</v>
      </c>
      <c r="F17" s="3">
        <f>IF(($B$6="N"),IF($B$7="N",10000,0),0)</f>
        <v>0</v>
      </c>
      <c r="G17" s="3">
        <f t="shared" ref="G17:G25" si="3">H17/1024</f>
        <v>0</v>
      </c>
      <c r="H17" s="2">
        <f t="shared" ref="H17:H21" si="4">HEX2DEC(F17)</f>
        <v>0</v>
      </c>
      <c r="I17" s="13">
        <f t="shared" ref="I17:I21" si="5">H17/HEX2DEC($B$5)</f>
        <v>0</v>
      </c>
      <c r="J17" s="13" t="s">
        <v>6</v>
      </c>
      <c r="K17" s="13" t="s">
        <v>6</v>
      </c>
      <c r="L17" s="4"/>
    </row>
    <row r="18" spans="1:12" x14ac:dyDescent="0.25">
      <c r="A18" s="8" t="s">
        <v>14</v>
      </c>
      <c r="B18" s="3">
        <v>4</v>
      </c>
      <c r="C18" s="3" t="str">
        <f t="shared" si="0"/>
        <v>3C000</v>
      </c>
      <c r="D18" s="3" t="str">
        <f t="shared" si="1"/>
        <v>803C000</v>
      </c>
      <c r="E18" s="3" t="str">
        <f t="shared" si="2"/>
        <v>803BFFF</v>
      </c>
      <c r="F18" s="3">
        <f>$B$11</f>
        <v>0</v>
      </c>
      <c r="G18" s="3">
        <f t="shared" si="3"/>
        <v>0</v>
      </c>
      <c r="H18" s="2">
        <f t="shared" si="4"/>
        <v>0</v>
      </c>
      <c r="I18" s="13">
        <f t="shared" si="5"/>
        <v>0</v>
      </c>
      <c r="J18" s="13" t="s">
        <v>6</v>
      </c>
      <c r="K18" s="13" t="s">
        <v>6</v>
      </c>
      <c r="L18" s="4"/>
    </row>
    <row r="19" spans="1:12" x14ac:dyDescent="0.25">
      <c r="A19" s="8" t="s">
        <v>36</v>
      </c>
      <c r="B19" s="3">
        <v>0</v>
      </c>
      <c r="C19" s="3" t="str">
        <f t="shared" si="0"/>
        <v>3C000</v>
      </c>
      <c r="D19" s="3" t="str">
        <f t="shared" si="1"/>
        <v>803C000</v>
      </c>
      <c r="E19" s="3" t="str">
        <f t="shared" si="2"/>
        <v>8119FFF</v>
      </c>
      <c r="F19" s="14" t="str">
        <f>DEC2HEX(IF($B$6="N",ROUNDDOWN((HEX2DEC(B4)-HEX2DEC(F14)-HEX2DEC(F15)-HEX2DEC(F16)-HEX2DEC(F17)-HEX2DEC(F22)-HEX2DEC(F18)-HEX2DEC(F21))/2/HEX2DEC($B$5),0)*HEX2DEC($B$5),(HEX2DEC(B4)-HEX2DEC(F14)-HEX2DEC(F15)-HEX2DEC(F16)-HEX2DEC(F17)-HEX2DEC(F22)-HEX2DEC(F18)-HEX2DEC(F21))))</f>
        <v>DE000</v>
      </c>
      <c r="G19" s="3">
        <f t="shared" si="3"/>
        <v>888</v>
      </c>
      <c r="H19" s="2">
        <f t="shared" si="4"/>
        <v>909312</v>
      </c>
      <c r="I19" s="13">
        <f t="shared" si="5"/>
        <v>111</v>
      </c>
      <c r="J19" s="13" t="s">
        <v>6</v>
      </c>
      <c r="K19" s="13" t="s">
        <v>6</v>
      </c>
      <c r="L19" s="4"/>
    </row>
    <row r="20" spans="1:12" x14ac:dyDescent="0.25">
      <c r="A20" s="8" t="s">
        <v>37</v>
      </c>
      <c r="B20" s="3">
        <v>2</v>
      </c>
      <c r="C20" s="3" t="str">
        <f t="shared" si="0"/>
        <v>11A000</v>
      </c>
      <c r="D20" s="3" t="str">
        <f t="shared" si="1"/>
        <v>811A000</v>
      </c>
      <c r="E20" s="3" t="str">
        <f t="shared" si="2"/>
        <v>81F7FFF</v>
      </c>
      <c r="F20" s="14" t="str">
        <f>IF($B$6="N",F19,0)</f>
        <v>DE000</v>
      </c>
      <c r="G20" s="3">
        <f t="shared" si="3"/>
        <v>888</v>
      </c>
      <c r="H20" s="2">
        <f t="shared" si="4"/>
        <v>909312</v>
      </c>
      <c r="I20" s="13">
        <f t="shared" si="5"/>
        <v>111</v>
      </c>
      <c r="J20" s="13" t="s">
        <v>6</v>
      </c>
      <c r="K20" s="13" t="s">
        <v>6</v>
      </c>
      <c r="L20" s="4"/>
    </row>
    <row r="21" spans="1:12" x14ac:dyDescent="0.25">
      <c r="A21" s="8" t="s">
        <v>15</v>
      </c>
      <c r="B21" s="3">
        <v>6</v>
      </c>
      <c r="C21" s="3" t="str">
        <f t="shared" si="0"/>
        <v>1F8000</v>
      </c>
      <c r="D21" s="3" t="str">
        <f t="shared" si="1"/>
        <v>81F8000</v>
      </c>
      <c r="E21" s="3" t="str">
        <f t="shared" si="2"/>
        <v>81F7FFF</v>
      </c>
      <c r="F21" s="3">
        <f>IF($B$10="Y",F18,0)</f>
        <v>0</v>
      </c>
      <c r="G21" s="3">
        <f t="shared" si="3"/>
        <v>0</v>
      </c>
      <c r="H21" s="2">
        <f t="shared" si="4"/>
        <v>0</v>
      </c>
      <c r="I21" s="13">
        <f t="shared" si="5"/>
        <v>0</v>
      </c>
      <c r="J21" s="13" t="s">
        <v>6</v>
      </c>
      <c r="K21" s="13" t="s">
        <v>6</v>
      </c>
      <c r="L21" s="4"/>
    </row>
    <row r="22" spans="1:12" x14ac:dyDescent="0.25">
      <c r="A22" s="8" t="s">
        <v>10</v>
      </c>
      <c r="B22" s="3" t="s">
        <v>10</v>
      </c>
      <c r="C22" s="3" t="str">
        <f t="shared" si="0"/>
        <v>1F8000</v>
      </c>
      <c r="D22" s="3" t="str">
        <f t="shared" si="1"/>
        <v>81F8000</v>
      </c>
      <c r="E22" s="3" t="str">
        <f t="shared" si="2"/>
        <v>81FFFFF</v>
      </c>
      <c r="F22" s="8">
        <f>$B$9</f>
        <v>8000</v>
      </c>
      <c r="G22" s="3">
        <f>H22/1024</f>
        <v>32</v>
      </c>
      <c r="H22" s="2">
        <f>HEX2DEC(F22)</f>
        <v>32768</v>
      </c>
      <c r="I22" s="13">
        <f>H22/HEX2DEC($B$5)</f>
        <v>4</v>
      </c>
      <c r="J22" s="13" t="s">
        <v>11</v>
      </c>
      <c r="K22" s="13" t="s">
        <v>6</v>
      </c>
      <c r="L22" s="4"/>
    </row>
    <row r="23" spans="1:12" x14ac:dyDescent="0.25">
      <c r="A23" s="1" t="s">
        <v>16</v>
      </c>
      <c r="B23" s="1"/>
      <c r="C23" s="1"/>
      <c r="D23" s="1"/>
      <c r="E23" s="1"/>
      <c r="F23" s="10" t="str">
        <f>DEC2HEX(H23)</f>
        <v>200000</v>
      </c>
      <c r="G23" s="1">
        <f t="shared" si="3"/>
        <v>2048</v>
      </c>
      <c r="H23" s="11">
        <f>SUM(H14:H22)</f>
        <v>2097152</v>
      </c>
      <c r="I23">
        <f>H23/HEX2DEC($B$5)</f>
        <v>256</v>
      </c>
    </row>
    <row r="24" spans="1:12" x14ac:dyDescent="0.25">
      <c r="A24" s="9" t="s">
        <v>22</v>
      </c>
      <c r="B24" t="s">
        <v>21</v>
      </c>
      <c r="F24" s="11">
        <f>$B$4</f>
        <v>200000</v>
      </c>
      <c r="G24" s="1">
        <f t="shared" si="3"/>
        <v>2048</v>
      </c>
      <c r="H24" s="11">
        <f>HEX2DEC(F24)</f>
        <v>2097152</v>
      </c>
      <c r="I24">
        <f t="shared" ref="I24:I25" si="6">H24/HEX2DEC($B$5)</f>
        <v>256</v>
      </c>
    </row>
    <row r="25" spans="1:12" x14ac:dyDescent="0.25">
      <c r="A25" s="9" t="s">
        <v>25</v>
      </c>
      <c r="F25" s="11" t="str">
        <f>DEC2HEX(H25)</f>
        <v>0</v>
      </c>
      <c r="G25" s="1">
        <f t="shared" si="3"/>
        <v>0</v>
      </c>
      <c r="H25" s="11">
        <f>H24-H23</f>
        <v>0</v>
      </c>
      <c r="I25">
        <f t="shared" si="6"/>
        <v>0</v>
      </c>
    </row>
    <row r="28" spans="1:12" x14ac:dyDescent="0.25">
      <c r="A28" s="12" t="s">
        <v>27</v>
      </c>
      <c r="B28" s="7" t="s">
        <v>3</v>
      </c>
      <c r="C28" s="7" t="s">
        <v>0</v>
      </c>
      <c r="D28" s="7" t="s">
        <v>1</v>
      </c>
      <c r="E28" s="7" t="s">
        <v>31</v>
      </c>
      <c r="F28" s="7" t="s">
        <v>23</v>
      </c>
      <c r="G28" s="7" t="s">
        <v>26</v>
      </c>
      <c r="H28" s="7" t="s">
        <v>24</v>
      </c>
      <c r="I28" s="7" t="s">
        <v>30</v>
      </c>
      <c r="J28" s="12" t="s">
        <v>28</v>
      </c>
      <c r="K28" s="12" t="s">
        <v>29</v>
      </c>
    </row>
    <row r="29" spans="1:12" x14ac:dyDescent="0.25">
      <c r="A29" s="8" t="s">
        <v>2</v>
      </c>
      <c r="B29" s="3" t="s">
        <v>2</v>
      </c>
      <c r="C29" s="3">
        <v>0</v>
      </c>
      <c r="D29" s="3" t="str">
        <f>DEC2HEX(HEX2DEC($B$3)+HEX2DEC(C29))</f>
        <v>8000000</v>
      </c>
      <c r="E29" s="3" t="str">
        <f>DEC2HEX(HEX2DEC(D29)+HEX2DEC(F29)-1)</f>
        <v>8017FFF</v>
      </c>
      <c r="F29" s="8">
        <v>18000</v>
      </c>
      <c r="G29" s="3">
        <f>H29/1024</f>
        <v>96</v>
      </c>
      <c r="H29" s="2">
        <f>HEX2DEC(F29)</f>
        <v>98304</v>
      </c>
      <c r="I29" s="13">
        <f>H29/HEX2DEC($B$5)</f>
        <v>12</v>
      </c>
      <c r="J29" s="13" t="s">
        <v>11</v>
      </c>
      <c r="K29" s="13" t="s">
        <v>11</v>
      </c>
    </row>
    <row r="30" spans="1:12" x14ac:dyDescent="0.25">
      <c r="A30" s="8" t="s">
        <v>8</v>
      </c>
      <c r="B30" s="3" t="s">
        <v>9</v>
      </c>
      <c r="C30" s="3" t="str">
        <f>DEC2HEX(HEX2DEC(C29)+HEX2DEC(F29))</f>
        <v>18000</v>
      </c>
      <c r="D30" s="3" t="str">
        <f>DEC2HEX(HEX2DEC($B$3)+HEX2DEC(C30))</f>
        <v>8018000</v>
      </c>
      <c r="E30" s="3" t="str">
        <f t="shared" ref="E30:E35" si="7">DEC2HEX(HEX2DEC(D30)+HEX2DEC(F30)-1)</f>
        <v>8017FFF</v>
      </c>
      <c r="F30" s="3">
        <f>IF(($B$6="N"),IF($B$7="N",10000,0),0)</f>
        <v>0</v>
      </c>
      <c r="G30" s="3">
        <f t="shared" ref="G30:G38" si="8">H30/1024</f>
        <v>0</v>
      </c>
      <c r="H30" s="2">
        <f t="shared" ref="H30:H34" si="9">HEX2DEC(F30)</f>
        <v>0</v>
      </c>
      <c r="I30" s="13">
        <f t="shared" ref="I30:I34" si="10">H30/HEX2DEC($B$5)</f>
        <v>0</v>
      </c>
      <c r="J30" s="13" t="s">
        <v>6</v>
      </c>
      <c r="K30" s="13" t="s">
        <v>11</v>
      </c>
    </row>
    <row r="31" spans="1:12" x14ac:dyDescent="0.25">
      <c r="A31" s="8" t="s">
        <v>14</v>
      </c>
      <c r="B31" s="3">
        <v>4</v>
      </c>
      <c r="C31" s="3" t="str">
        <f>DEC2HEX(HEX2DEC(C30)+HEX2DEC(F30))</f>
        <v>18000</v>
      </c>
      <c r="D31" s="3" t="str">
        <f>DEC2HEX(HEX2DEC($B$3)+HEX2DEC(C31))</f>
        <v>8018000</v>
      </c>
      <c r="E31" s="3" t="str">
        <f t="shared" si="7"/>
        <v>8017FFF</v>
      </c>
      <c r="F31" s="3">
        <f>$B$11</f>
        <v>0</v>
      </c>
      <c r="G31" s="3">
        <f t="shared" si="8"/>
        <v>0</v>
      </c>
      <c r="H31" s="2">
        <f t="shared" si="9"/>
        <v>0</v>
      </c>
      <c r="I31" s="13">
        <f t="shared" si="10"/>
        <v>0</v>
      </c>
      <c r="J31" s="13" t="s">
        <v>6</v>
      </c>
      <c r="K31" s="13" t="s">
        <v>6</v>
      </c>
    </row>
    <row r="32" spans="1:12" x14ac:dyDescent="0.25">
      <c r="A32" s="8" t="s">
        <v>12</v>
      </c>
      <c r="B32" s="3">
        <v>0</v>
      </c>
      <c r="C32" s="3" t="str">
        <f t="shared" ref="C32:C34" si="11">DEC2HEX(HEX2DEC(C31)+HEX2DEC(F31))</f>
        <v>18000</v>
      </c>
      <c r="D32" s="3" t="str">
        <f t="shared" ref="D32:D34" si="12">DEC2HEX(HEX2DEC($B$3)+HEX2DEC(C32))</f>
        <v>8018000</v>
      </c>
      <c r="E32" s="3" t="str">
        <f t="shared" si="7"/>
        <v>802DFFF</v>
      </c>
      <c r="F32" s="15">
        <v>16000</v>
      </c>
      <c r="G32" s="3">
        <f t="shared" si="8"/>
        <v>88</v>
      </c>
      <c r="H32" s="2">
        <f t="shared" si="9"/>
        <v>90112</v>
      </c>
      <c r="I32" s="13">
        <f t="shared" si="10"/>
        <v>11</v>
      </c>
      <c r="J32" s="13" t="s">
        <v>6</v>
      </c>
      <c r="K32" s="13" t="s">
        <v>6</v>
      </c>
    </row>
    <row r="33" spans="1:11" x14ac:dyDescent="0.25">
      <c r="A33" s="8" t="s">
        <v>13</v>
      </c>
      <c r="B33" s="3">
        <v>2</v>
      </c>
      <c r="C33" s="3" t="str">
        <f t="shared" si="11"/>
        <v>2E000</v>
      </c>
      <c r="D33" s="3" t="str">
        <f t="shared" si="12"/>
        <v>802E000</v>
      </c>
      <c r="E33" s="3" t="str">
        <f t="shared" si="7"/>
        <v>8043FFF</v>
      </c>
      <c r="F33" s="15">
        <f>IF($B$6="N",F32,0)</f>
        <v>16000</v>
      </c>
      <c r="G33" s="3">
        <f t="shared" si="8"/>
        <v>88</v>
      </c>
      <c r="H33" s="2">
        <f t="shared" si="9"/>
        <v>90112</v>
      </c>
      <c r="I33" s="13">
        <f t="shared" si="10"/>
        <v>11</v>
      </c>
      <c r="J33" s="13" t="s">
        <v>6</v>
      </c>
      <c r="K33" s="13" t="s">
        <v>6</v>
      </c>
    </row>
    <row r="34" spans="1:11" x14ac:dyDescent="0.25">
      <c r="A34" s="8" t="s">
        <v>15</v>
      </c>
      <c r="B34" s="3">
        <v>6</v>
      </c>
      <c r="C34" s="3" t="str">
        <f t="shared" si="11"/>
        <v>44000</v>
      </c>
      <c r="D34" s="3" t="str">
        <f t="shared" si="12"/>
        <v>8044000</v>
      </c>
      <c r="E34" s="3" t="str">
        <f t="shared" si="7"/>
        <v>8043FFF</v>
      </c>
      <c r="F34" s="3">
        <f>IF($B$10="Y",F31,0)</f>
        <v>0</v>
      </c>
      <c r="G34" s="3">
        <f t="shared" si="8"/>
        <v>0</v>
      </c>
      <c r="H34" s="2">
        <f t="shared" si="9"/>
        <v>0</v>
      </c>
      <c r="I34" s="13">
        <f t="shared" si="10"/>
        <v>0</v>
      </c>
      <c r="J34" s="13" t="s">
        <v>6</v>
      </c>
      <c r="K34" s="13" t="s">
        <v>6</v>
      </c>
    </row>
    <row r="35" spans="1:11" x14ac:dyDescent="0.25">
      <c r="A35" s="8" t="s">
        <v>10</v>
      </c>
      <c r="B35" s="3" t="s">
        <v>10</v>
      </c>
      <c r="C35" s="3" t="str">
        <f>DEC2HEX(HEX2DEC(C34)+HEX2DEC(F34))</f>
        <v>44000</v>
      </c>
      <c r="D35" s="3" t="str">
        <f>DEC2HEX(HEX2DEC($B$3)+HEX2DEC(C35))</f>
        <v>8044000</v>
      </c>
      <c r="E35" s="3" t="str">
        <f t="shared" si="7"/>
        <v>804BFFF</v>
      </c>
      <c r="F35" s="8">
        <f>$B$9</f>
        <v>8000</v>
      </c>
      <c r="G35" s="3">
        <f>H35/1024</f>
        <v>32</v>
      </c>
      <c r="H35" s="2">
        <f>HEX2DEC(F35)</f>
        <v>32768</v>
      </c>
      <c r="I35" s="13">
        <f>H35/HEX2DEC($B$5)</f>
        <v>4</v>
      </c>
      <c r="J35" s="13" t="s">
        <v>11</v>
      </c>
      <c r="K35" s="13" t="s">
        <v>6</v>
      </c>
    </row>
    <row r="36" spans="1:11" x14ac:dyDescent="0.25">
      <c r="A36" s="1" t="s">
        <v>16</v>
      </c>
      <c r="B36" s="1"/>
      <c r="C36" s="1"/>
      <c r="D36" s="1"/>
      <c r="E36" s="1"/>
      <c r="F36" s="10" t="str">
        <f>DEC2HEX(H36)</f>
        <v>4C000</v>
      </c>
      <c r="G36" s="1">
        <f t="shared" si="8"/>
        <v>304</v>
      </c>
      <c r="H36" s="11">
        <f>SUM(H29:H35)</f>
        <v>311296</v>
      </c>
      <c r="I36">
        <f>H36/HEX2DEC($B$5)</f>
        <v>38</v>
      </c>
    </row>
    <row r="37" spans="1:11" x14ac:dyDescent="0.25">
      <c r="A37" s="9" t="s">
        <v>22</v>
      </c>
      <c r="B37" t="s">
        <v>21</v>
      </c>
      <c r="F37" s="11">
        <f>$B$4</f>
        <v>200000</v>
      </c>
      <c r="G37" s="1">
        <f t="shared" si="8"/>
        <v>2048</v>
      </c>
      <c r="H37" s="11">
        <f>HEX2DEC(F37)</f>
        <v>2097152</v>
      </c>
      <c r="I37">
        <f t="shared" ref="I37:I38" si="13">H37/HEX2DEC($B$5)</f>
        <v>256</v>
      </c>
    </row>
    <row r="38" spans="1:11" x14ac:dyDescent="0.25">
      <c r="A38" s="9" t="s">
        <v>25</v>
      </c>
      <c r="F38" s="11" t="str">
        <f>DEC2HEX(H38)</f>
        <v>1B4000</v>
      </c>
      <c r="G38" s="1">
        <f t="shared" si="8"/>
        <v>1744</v>
      </c>
      <c r="H38" s="11">
        <f>H37-H36</f>
        <v>1785856</v>
      </c>
      <c r="I38">
        <f t="shared" si="13"/>
        <v>218</v>
      </c>
    </row>
  </sheetData>
  <conditionalFormatting sqref="B6:B8 B10">
    <cfRule type="cellIs" dxfId="5" priority="5" operator="equal">
      <formula>"Y"</formula>
    </cfRule>
    <cfRule type="cellIs" dxfId="4" priority="6" operator="equal">
      <formula>"N"</formula>
    </cfRule>
  </conditionalFormatting>
  <conditionalFormatting sqref="J29:K35">
    <cfRule type="cellIs" dxfId="3" priority="1" operator="equal">
      <formula>"N"</formula>
    </cfRule>
    <cfRule type="cellIs" dxfId="2" priority="2" operator="equal">
      <formula>"Y"</formula>
    </cfRule>
  </conditionalFormatting>
  <conditionalFormatting sqref="J14:L22">
    <cfRule type="cellIs" dxfId="1" priority="3" operator="equal">
      <formula>"N"</formula>
    </cfRule>
    <cfRule type="cellIs" dxfId="0" priority="4" operator="equal">
      <formula>"Y"</formula>
    </cfRule>
  </conditionalFormatting>
  <dataValidations count="2">
    <dataValidation type="list" allowBlank="1" showInputMessage="1" showErrorMessage="1" sqref="B6:B8 B10 J14:L22 J29:K35" xr:uid="{EBA8029F-00D4-49E4-8B84-75C1EA9F44E8}">
      <formula1>$B$1:$B$2</formula1>
    </dataValidation>
    <dataValidation type="decimal" operator="lessThanOrEqual" allowBlank="1" showInputMessage="1" showErrorMessage="1" errorTitle="Error" error="Total size consumed cannot exceed total user flash size!" sqref="H23 H36" xr:uid="{1D140836-F0E9-4E03-84AE-026A1CDC9976}">
      <formula1>H24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OEMiROT+OEMuROT Flash Layout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CHEN</dc:creator>
  <cp:lastModifiedBy>Sunny CHEN</cp:lastModifiedBy>
  <dcterms:created xsi:type="dcterms:W3CDTF">2026-01-30T09:25:41Z</dcterms:created>
  <dcterms:modified xsi:type="dcterms:W3CDTF">2026-04-21T03:44:28Z</dcterms:modified>
</cp:coreProperties>
</file>