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T\Cube\Cube1\STM32CubeH5\Projects\NUCLEO-H553ZG\Applications\ROT\"/>
    </mc:Choice>
  </mc:AlternateContent>
  <xr:revisionPtr revIDLastSave="0" documentId="13_ncr:1_{37D8F2D5-33EB-443B-B317-90CD0D783260}" xr6:coauthVersionLast="47" xr6:coauthVersionMax="47" xr10:uidLastSave="{00000000-0000-0000-0000-000000000000}"/>
  <bookViews>
    <workbookView xWindow="-120" yWindow="-120" windowWidth="29040" windowHeight="15720" xr2:uid="{EA4F91E5-2F2C-41F9-ADC4-50A0D48CACE5}"/>
  </bookViews>
  <sheets>
    <sheet name="OEMiROT+FullSec App Layout (2)" sheetId="5" r:id="rId1"/>
    <sheet name="STiROT+OEMuROT+FullSec App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0" i="5" l="1"/>
  <c r="C25" i="4"/>
  <c r="F26" i="4"/>
  <c r="C26" i="4" s="1"/>
  <c r="J26" i="4"/>
  <c r="L18" i="4"/>
  <c r="K19" i="4"/>
  <c r="K18" i="4"/>
  <c r="J25" i="4"/>
  <c r="F25" i="4"/>
  <c r="F22" i="4" s="1"/>
  <c r="H41" i="5"/>
  <c r="F41" i="5"/>
  <c r="J39" i="5"/>
  <c r="H39" i="5"/>
  <c r="G39" i="5" s="1"/>
  <c r="F39" i="5"/>
  <c r="C39" i="5"/>
  <c r="D39" i="5" s="1"/>
  <c r="E39" i="5" s="1"/>
  <c r="J37" i="5"/>
  <c r="H37" i="5"/>
  <c r="I37" i="5" s="1"/>
  <c r="F37" i="5"/>
  <c r="J36" i="5"/>
  <c r="H36" i="5"/>
  <c r="I36" i="5" s="1"/>
  <c r="F36" i="5"/>
  <c r="I35" i="5"/>
  <c r="H35" i="5"/>
  <c r="G35" i="5"/>
  <c r="J34" i="5"/>
  <c r="H34" i="5"/>
  <c r="I34" i="5" s="1"/>
  <c r="F34" i="5"/>
  <c r="J33" i="5"/>
  <c r="H33" i="5"/>
  <c r="G33" i="5" s="1"/>
  <c r="F33" i="5"/>
  <c r="J32" i="5"/>
  <c r="H32" i="5"/>
  <c r="F32" i="5"/>
  <c r="C32" i="5" s="1"/>
  <c r="H31" i="5"/>
  <c r="I31" i="5" s="1"/>
  <c r="G31" i="5"/>
  <c r="D31" i="5"/>
  <c r="E31" i="5" s="1"/>
  <c r="H25" i="5"/>
  <c r="I25" i="5" s="1"/>
  <c r="F25" i="5"/>
  <c r="J23" i="5"/>
  <c r="F23" i="5"/>
  <c r="H23" i="5" s="1"/>
  <c r="C23" i="5"/>
  <c r="D23" i="5" s="1"/>
  <c r="E23" i="5" s="1"/>
  <c r="J22" i="5"/>
  <c r="F22" i="5"/>
  <c r="H22" i="5" s="1"/>
  <c r="J21" i="5"/>
  <c r="F21" i="5"/>
  <c r="H21" i="5" s="1"/>
  <c r="J19" i="5"/>
  <c r="H19" i="5"/>
  <c r="G19" i="5" s="1"/>
  <c r="F19" i="5"/>
  <c r="J18" i="5"/>
  <c r="H18" i="5"/>
  <c r="I18" i="5" s="1"/>
  <c r="F18" i="5"/>
  <c r="J17" i="5"/>
  <c r="H17" i="5"/>
  <c r="G17" i="5" s="1"/>
  <c r="F17" i="5"/>
  <c r="C17" i="5" s="1"/>
  <c r="H16" i="5"/>
  <c r="I16" i="5" s="1"/>
  <c r="G16" i="5"/>
  <c r="D16" i="5"/>
  <c r="E16" i="5" s="1"/>
  <c r="B11" i="5"/>
  <c r="J43" i="4"/>
  <c r="J41" i="4"/>
  <c r="J40" i="4"/>
  <c r="J38" i="4"/>
  <c r="J37" i="4"/>
  <c r="J36" i="4"/>
  <c r="J21" i="4"/>
  <c r="J19" i="4"/>
  <c r="J27" i="4"/>
  <c r="F45" i="4"/>
  <c r="H45" i="4" s="1"/>
  <c r="F43" i="4"/>
  <c r="H43" i="4" s="1"/>
  <c r="F41" i="4"/>
  <c r="H41" i="4" s="1"/>
  <c r="F40" i="4"/>
  <c r="H40" i="4" s="1"/>
  <c r="F37" i="4"/>
  <c r="H37" i="4" s="1"/>
  <c r="I37" i="4" s="1"/>
  <c r="F36" i="4"/>
  <c r="H36" i="4" s="1"/>
  <c r="H35" i="4"/>
  <c r="I35" i="4" s="1"/>
  <c r="D35" i="4"/>
  <c r="J24" i="4"/>
  <c r="J23" i="4"/>
  <c r="J20" i="4"/>
  <c r="F27" i="4"/>
  <c r="H27" i="4" s="1"/>
  <c r="F29" i="4"/>
  <c r="H29" i="4" s="1"/>
  <c r="F24" i="4"/>
  <c r="H24" i="4" s="1"/>
  <c r="F20" i="4"/>
  <c r="H18" i="4"/>
  <c r="I18" i="4" s="1"/>
  <c r="D18" i="4"/>
  <c r="E18" i="4" s="1"/>
  <c r="B11" i="4"/>
  <c r="F21" i="4" s="1"/>
  <c r="H21" i="4" s="1"/>
  <c r="F19" i="4"/>
  <c r="I39" i="5" l="1"/>
  <c r="H20" i="5"/>
  <c r="G20" i="5" s="1"/>
  <c r="H25" i="4"/>
  <c r="G25" i="4" s="1"/>
  <c r="H26" i="4"/>
  <c r="I26" i="4" s="1"/>
  <c r="D25" i="4"/>
  <c r="E25" i="4" s="1"/>
  <c r="E35" i="4"/>
  <c r="G23" i="5"/>
  <c r="I23" i="5"/>
  <c r="I21" i="5"/>
  <c r="G21" i="5"/>
  <c r="I22" i="5"/>
  <c r="G22" i="5"/>
  <c r="C18" i="5"/>
  <c r="D17" i="5"/>
  <c r="E17" i="5" s="1"/>
  <c r="C33" i="5"/>
  <c r="D32" i="5"/>
  <c r="E32" i="5" s="1"/>
  <c r="I17" i="5"/>
  <c r="I33" i="5"/>
  <c r="I19" i="5"/>
  <c r="G36" i="5"/>
  <c r="G37" i="5"/>
  <c r="G41" i="5"/>
  <c r="G18" i="5"/>
  <c r="G25" i="5"/>
  <c r="G32" i="5"/>
  <c r="G34" i="5"/>
  <c r="I41" i="5"/>
  <c r="I32" i="5"/>
  <c r="C36" i="4"/>
  <c r="C37" i="4" s="1"/>
  <c r="C38" i="4" s="1"/>
  <c r="C27" i="4"/>
  <c r="F38" i="4"/>
  <c r="H38" i="4" s="1"/>
  <c r="C43" i="4"/>
  <c r="I36" i="4"/>
  <c r="G36" i="4"/>
  <c r="I45" i="4"/>
  <c r="G45" i="4"/>
  <c r="G35" i="4"/>
  <c r="G37" i="4"/>
  <c r="I41" i="4"/>
  <c r="G41" i="4"/>
  <c r="I43" i="4"/>
  <c r="G43" i="4"/>
  <c r="I40" i="4"/>
  <c r="G40" i="4"/>
  <c r="H39" i="4"/>
  <c r="G27" i="4"/>
  <c r="I27" i="4"/>
  <c r="G18" i="4"/>
  <c r="C19" i="4"/>
  <c r="H19" i="4"/>
  <c r="I21" i="4"/>
  <c r="G21" i="4"/>
  <c r="I24" i="4"/>
  <c r="G24" i="4"/>
  <c r="I29" i="4"/>
  <c r="G29" i="4"/>
  <c r="H20" i="4"/>
  <c r="H24" i="5" l="1"/>
  <c r="H26" i="5" s="1"/>
  <c r="I20" i="5"/>
  <c r="I25" i="4"/>
  <c r="G26" i="4"/>
  <c r="G38" i="4"/>
  <c r="D37" i="4"/>
  <c r="E37" i="4" s="1"/>
  <c r="I38" i="4"/>
  <c r="D36" i="4"/>
  <c r="E36" i="4" s="1"/>
  <c r="D43" i="4"/>
  <c r="E43" i="4" s="1"/>
  <c r="C34" i="5"/>
  <c r="D33" i="5"/>
  <c r="E33" i="5" s="1"/>
  <c r="C19" i="5"/>
  <c r="D18" i="5"/>
  <c r="E18" i="5" s="1"/>
  <c r="G26" i="5"/>
  <c r="F26" i="5"/>
  <c r="I26" i="5"/>
  <c r="G24" i="5"/>
  <c r="F24" i="5"/>
  <c r="I24" i="5"/>
  <c r="I39" i="4"/>
  <c r="G39" i="4"/>
  <c r="C39" i="4"/>
  <c r="D38" i="4"/>
  <c r="E38" i="4" s="1"/>
  <c r="D19" i="4"/>
  <c r="E19" i="4" s="1"/>
  <c r="C20" i="4"/>
  <c r="F23" i="4"/>
  <c r="H23" i="4" s="1"/>
  <c r="H22" i="4"/>
  <c r="G20" i="4"/>
  <c r="I20" i="4"/>
  <c r="I19" i="4"/>
  <c r="G19" i="4"/>
  <c r="C20" i="5" l="1"/>
  <c r="D19" i="5"/>
  <c r="E19" i="5" s="1"/>
  <c r="C35" i="5"/>
  <c r="D34" i="5"/>
  <c r="E34" i="5" s="1"/>
  <c r="H28" i="4"/>
  <c r="C40" i="4"/>
  <c r="D39" i="4"/>
  <c r="E39" i="4" s="1"/>
  <c r="D20" i="4"/>
  <c r="E20" i="4" s="1"/>
  <c r="C21" i="4"/>
  <c r="I22" i="4"/>
  <c r="G22" i="4"/>
  <c r="I23" i="4"/>
  <c r="G23" i="4"/>
  <c r="C36" i="5" l="1"/>
  <c r="D35" i="5"/>
  <c r="E35" i="5" s="1"/>
  <c r="C21" i="5"/>
  <c r="D20" i="5"/>
  <c r="E20" i="5" s="1"/>
  <c r="D40" i="4"/>
  <c r="E40" i="4" s="1"/>
  <c r="C41" i="4"/>
  <c r="I28" i="4"/>
  <c r="G28" i="4"/>
  <c r="F28" i="4"/>
  <c r="D26" i="4" s="1"/>
  <c r="E26" i="4" s="1"/>
  <c r="H30" i="4"/>
  <c r="D41" i="4" l="1"/>
  <c r="E41" i="4" s="1"/>
  <c r="C42" i="4"/>
  <c r="D21" i="5"/>
  <c r="E21" i="5" s="1"/>
  <c r="C22" i="5"/>
  <c r="D22" i="5" s="1"/>
  <c r="E22" i="5" s="1"/>
  <c r="D36" i="5"/>
  <c r="E36" i="5" s="1"/>
  <c r="C37" i="5"/>
  <c r="C22" i="4"/>
  <c r="D21" i="4"/>
  <c r="E21" i="4" s="1"/>
  <c r="I30" i="4"/>
  <c r="G30" i="4"/>
  <c r="F30" i="4"/>
  <c r="D42" i="4" l="1"/>
  <c r="F42" i="4"/>
  <c r="D37" i="5"/>
  <c r="E37" i="5" s="1"/>
  <c r="C38" i="5"/>
  <c r="C23" i="4"/>
  <c r="D22" i="4"/>
  <c r="E22" i="4" s="1"/>
  <c r="E42" i="4" l="1"/>
  <c r="H42" i="4"/>
  <c r="D38" i="5"/>
  <c r="F38" i="5"/>
  <c r="H38" i="5" s="1"/>
  <c r="D23" i="4"/>
  <c r="E23" i="4" s="1"/>
  <c r="C24" i="4"/>
  <c r="G42" i="4" l="1"/>
  <c r="I42" i="4"/>
  <c r="H44" i="4"/>
  <c r="I38" i="5"/>
  <c r="G38" i="5"/>
  <c r="H40" i="5"/>
  <c r="E38" i="5"/>
  <c r="D24" i="4"/>
  <c r="E24" i="4" s="1"/>
  <c r="D27" i="4"/>
  <c r="E27" i="4" s="1"/>
  <c r="F44" i="4" l="1"/>
  <c r="I44" i="4"/>
  <c r="H46" i="4"/>
  <c r="G44" i="4"/>
  <c r="I40" i="5"/>
  <c r="G40" i="5"/>
  <c r="F40" i="5"/>
  <c r="H42" i="5"/>
  <c r="I46" i="4" l="1"/>
  <c r="G46" i="4"/>
  <c r="F46" i="4"/>
  <c r="I42" i="5"/>
  <c r="G42" i="5"/>
  <c r="F42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tc={E1F76091-259F-40AC-B725-329FDA192010}</author>
    <author>tc={B3599DFF-E746-4D27-97AB-866D2A7D79A1}</author>
  </authors>
  <commentList>
    <comment ref="B9" authorId="0" shapeId="0" xr:uid="{E1F76091-259F-40AC-B725-329FDA192010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 alone loader size will be deducted from OEMiROT size. This size must be multiple of 8KB (page size) because HDP is aligned to page size.</t>
      </text>
    </comment>
    <comment ref="B11" authorId="1" shapeId="0" xr:uid="{B3599DFF-E746-4D27-97AB-866D2A7D79A1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be multiple of page size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tc={203D9733-C4C4-4F10-8290-1DF7D76BB4F1}</author>
    <author>tc={DCC76FF3-AE4D-474C-A174-34E77DDD0106}</author>
  </authors>
  <commentList>
    <comment ref="B9" authorId="0" shapeId="0" xr:uid="{203D9733-C4C4-4F10-8290-1DF7D76BB4F1}">
      <text>
        <t>[Threaded comment]
Your version of Excel allows you to read this threaded comment; however, any edits to it will get removed if the file is opened in a newer version of Excel. Learn more: https://go.microsoft.com/fwlink/?linkid=870924
Comment:
    Stand alone loader size will be deducted from OEMiROT size. This size must be multiple of 8KB (page size) because HDP is aligned to page size.</t>
      </text>
    </comment>
    <comment ref="B11" authorId="1" shapeId="0" xr:uid="{DCC76FF3-AE4D-474C-A174-34E77DDD0106}">
      <text>
        <t>[Threaded comment]
Your version of Excel allows you to read this threaded comment; however, any edits to it will get removed if the file is opened in a newer version of Excel. Learn more: https://go.microsoft.com/fwlink/?linkid=870924
Comment:
    Must be multiple of page size</t>
      </text>
    </comment>
  </commentList>
</comments>
</file>

<file path=xl/sharedStrings.xml><?xml version="1.0" encoding="utf-8"?>
<sst xmlns="http://schemas.openxmlformats.org/spreadsheetml/2006/main" count="280" uniqueCount="54">
  <si>
    <t>FLASH_BASE</t>
  </si>
  <si>
    <t>FLASH_SIZE</t>
  </si>
  <si>
    <t>FLASH PAGE SIZE</t>
  </si>
  <si>
    <t>N</t>
  </si>
  <si>
    <t>Y</t>
  </si>
  <si>
    <t>LOADER</t>
  </si>
  <si>
    <t>UART Ymodem loader as example</t>
  </si>
  <si>
    <t>DATA IMAGE SLOT</t>
  </si>
  <si>
    <t>DATA IMAGE SIZE</t>
  </si>
  <si>
    <t>Must be multiple of page size (2000)</t>
  </si>
  <si>
    <t>Area purpose</t>
  </si>
  <si>
    <t>AREA ID</t>
  </si>
  <si>
    <t>offset</t>
  </si>
  <si>
    <t>start</t>
  </si>
  <si>
    <t>end</t>
  </si>
  <si>
    <t>size (B hex)</t>
  </si>
  <si>
    <t>size (KB)</t>
  </si>
  <si>
    <t>size (B dec)</t>
  </si>
  <si>
    <t>Nb pages</t>
  </si>
  <si>
    <t>WRP</t>
  </si>
  <si>
    <t>HDP</t>
  </si>
  <si>
    <t>Flash SEC</t>
  </si>
  <si>
    <t>OEMiROT</t>
  </si>
  <si>
    <t>BL2</t>
  </si>
  <si>
    <t>SCRTACH</t>
  </si>
  <si>
    <t>Data Active</t>
  </si>
  <si>
    <t>App Active (Max)</t>
  </si>
  <si>
    <t>App Download (Max)</t>
  </si>
  <si>
    <t>Data Download</t>
  </si>
  <si>
    <t>Total size</t>
  </si>
  <si>
    <t>Total size Max</t>
  </si>
  <si>
    <t xml:space="preserve"> </t>
  </si>
  <si>
    <t>Remaining free size</t>
  </si>
  <si>
    <t>User LOADER</t>
  </si>
  <si>
    <t>User LOADER SIZE</t>
  </si>
  <si>
    <t>Must be used if PRIMARY ONLY is Y</t>
  </si>
  <si>
    <t>PRIMARY_ONLY</t>
  </si>
  <si>
    <t>OVERWRITE_ONLY</t>
  </si>
  <si>
    <t>EDATA area</t>
  </si>
  <si>
    <t>EDATA</t>
  </si>
  <si>
    <t>EDATA size</t>
  </si>
  <si>
    <t>SCRATCH area</t>
  </si>
  <si>
    <t>Enabled</t>
  </si>
  <si>
    <t>App with max slot size</t>
  </si>
  <si>
    <t>App with non-max slot size</t>
  </si>
  <si>
    <t>Free space (not used)</t>
  </si>
  <si>
    <t>NA</t>
  </si>
  <si>
    <t>STiROT+OEMuROT</t>
  </si>
  <si>
    <t>With this layout, there must be the download area of BL2 (OEMiROT + LOADER) in NS area (to be put at the end of the flash before EDATA area)</t>
  </si>
  <si>
    <t>OEMiROT Downlaod</t>
  </si>
  <si>
    <t>Must be multiple of page size (2000), e.g. 4000</t>
  </si>
  <si>
    <t>OEMiROT Data Downlaod</t>
  </si>
  <si>
    <t>OEMiROT Data dwl slot size</t>
  </si>
  <si>
    <t>This is fixed to 0x2000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</si>
</sst>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charset val="134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charset val="1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38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/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/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3" borderId="8" xfId="0" applyFill="1" applyBorder="1" applyAlignment="1">
      <alignment horizontal="center" vertical="center"/>
    </xf>
    <xf numFmtId="0" fontId="0" fillId="0" borderId="8" xfId="0" applyBorder="1" applyAlignment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0" xfId="0" applyBorder="1" applyAlignment="1"/>
    <xf numFmtId="0" fontId="0" fillId="0" borderId="10" xfId="0" applyBorder="1" applyAlignment="1">
      <alignment horizont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right"/>
    </xf>
    <xf numFmtId="0" fontId="1" fillId="0" borderId="0" xfId="0" applyFont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1" xfId="0" applyFill="1" applyBorder="1" applyAlignment="1"/>
    <xf numFmtId="0" fontId="0" fillId="4" borderId="1" xfId="0" applyFill="1" applyBorder="1" applyAlignment="1">
      <alignment horizontal="center"/>
    </xf>
    <xf numFmtId="0" fontId="0" fillId="0" borderId="11" xfId="0" applyFill="1" applyBorder="1" applyAlignment="1"/>
    <xf numFmtId="0" fontId="0" fillId="0" borderId="0" xfId="0" applyFill="1" applyBorder="1" applyAlignment="1"/>
  </cellXfs>
  <cellStyles count="1">
    <cellStyle name="Normal" xfId="0" builtinId="0"/>
  </cellStyles>
  <dxfs count="18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Sunny CHEN" id="{DA7C2F05-062F-429C-8D88-B06321654FA0}" userId="S::sunny.chen@st.com::a300bb7f-0dc8-4f82-8096-8f7ada5fd4f2" providerId="AD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B9" dT="2026-02-02T06:26:47.24" personId="{DA7C2F05-062F-429C-8D88-B06321654FA0}" id="{E1F76091-259F-40AC-B725-329FDA192010}">
    <text>Stand alone loader size will be deducted from OEMiROT size. This size must be multiple of 8KB (page size) because HDP is aligned to page size.</text>
  </threadedComment>
  <threadedComment ref="B11" dT="2026-02-02T06:27:12.60" personId="{DA7C2F05-062F-429C-8D88-B06321654FA0}" id="{B3599DFF-E746-4D27-97AB-866D2A7D79A1}">
    <text>Must be multiple of page size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B9" dT="2026-02-02T06:26:47.24" personId="{DA7C2F05-062F-429C-8D88-B06321654FA0}" id="{203D9733-C4C4-4F10-8290-1DF7D76BB4F1}">
    <text>Stand alone loader size will be deducted from OEMiROT size. This size must be multiple of 8KB (page size) because HDP is aligned to page size.</text>
  </threadedComment>
  <threadedComment ref="B11" dT="2026-02-02T06:27:12.60" personId="{DA7C2F05-062F-429C-8D88-B06321654FA0}" id="{DCC76FF3-AE4D-474C-A174-34E77DDD0106}">
    <text>Must be multiple of page size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59AFB8-B5D5-41B4-81E3-BBA74F7ED025}">
  <dimension ref="A1:M42"/>
  <sheetViews>
    <sheetView tabSelected="1" topLeftCell="A3" zoomScale="130" zoomScaleNormal="130" workbookViewId="0">
      <selection activeCell="B13" sqref="B13"/>
    </sheetView>
  </sheetViews>
  <sheetFormatPr defaultRowHeight="15"/>
  <cols>
    <col min="1" max="1" width="21.5703125" bestFit="1" customWidth="1"/>
    <col min="6" max="6" width="11.140625" bestFit="1" customWidth="1"/>
    <col min="8" max="8" width="11" bestFit="1" customWidth="1"/>
  </cols>
  <sheetData>
    <row r="1" spans="1:13" hidden="1">
      <c r="A1" s="5"/>
      <c r="B1" s="6" t="s">
        <v>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idden="1">
      <c r="A2" s="5"/>
      <c r="B2" s="6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>
      <c r="A3" s="3" t="s">
        <v>0</v>
      </c>
      <c r="B3" s="4">
        <v>8000000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>
      <c r="A4" s="3" t="s">
        <v>1</v>
      </c>
      <c r="B4" s="4">
        <v>100000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>
      <c r="A5" s="3" t="s">
        <v>2</v>
      </c>
      <c r="B5" s="4">
        <v>2000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>
      <c r="A6" s="13" t="s">
        <v>36</v>
      </c>
      <c r="B6" s="6" t="s">
        <v>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>
      <c r="A7" s="13" t="s">
        <v>37</v>
      </c>
      <c r="B7" s="6" t="s">
        <v>4</v>
      </c>
      <c r="C7" s="5" t="s">
        <v>35</v>
      </c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>
      <c r="A8" s="13" t="s">
        <v>33</v>
      </c>
      <c r="B8" s="6" t="s">
        <v>4</v>
      </c>
      <c r="C8" s="5" t="s">
        <v>6</v>
      </c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13" t="s">
        <v>34</v>
      </c>
      <c r="B9" s="2">
        <v>10000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13" t="s">
        <v>7</v>
      </c>
      <c r="B10" s="6" t="s">
        <v>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>
      <c r="A11" s="13" t="s">
        <v>8</v>
      </c>
      <c r="B11" s="6">
        <f>IF(($B$10="Y"),$B$5,0)</f>
        <v>0</v>
      </c>
      <c r="C11" s="5" t="s">
        <v>9</v>
      </c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>
      <c r="A12" s="13" t="s">
        <v>40</v>
      </c>
      <c r="B12" s="6">
        <v>2000</v>
      </c>
      <c r="C12" s="5" t="s">
        <v>9</v>
      </c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 ht="16.5" customHeight="1">
      <c r="A13" s="5"/>
      <c r="B13" s="6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16.5" customHeight="1" thickBot="1">
      <c r="A14" s="5" t="s">
        <v>43</v>
      </c>
      <c r="B14" s="6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>
      <c r="A15" s="7" t="s">
        <v>10</v>
      </c>
      <c r="B15" s="8" t="s">
        <v>11</v>
      </c>
      <c r="C15" s="8" t="s">
        <v>12</v>
      </c>
      <c r="D15" s="8" t="s">
        <v>13</v>
      </c>
      <c r="E15" s="8" t="s">
        <v>14</v>
      </c>
      <c r="F15" s="8" t="s">
        <v>15</v>
      </c>
      <c r="G15" s="8" t="s">
        <v>16</v>
      </c>
      <c r="H15" s="8" t="s">
        <v>17</v>
      </c>
      <c r="I15" s="8" t="s">
        <v>18</v>
      </c>
      <c r="J15" s="8" t="s">
        <v>42</v>
      </c>
      <c r="K15" s="9" t="s">
        <v>19</v>
      </c>
      <c r="L15" s="9" t="s">
        <v>20</v>
      </c>
      <c r="M15" s="10" t="s">
        <v>21</v>
      </c>
    </row>
    <row r="16" spans="1:13">
      <c r="A16" s="11" t="s">
        <v>22</v>
      </c>
      <c r="B16" s="1" t="s">
        <v>23</v>
      </c>
      <c r="C16" s="1">
        <v>0</v>
      </c>
      <c r="D16" s="1" t="str">
        <f>DEC2HEX(HEX2DEC($B$3)+HEX2DEC(C16))</f>
        <v>8000000</v>
      </c>
      <c r="E16" s="1" t="str">
        <f>DEC2HEX(HEX2DEC(D16)+IF(($B$8="Y"),HEX2DEC(F16)-HEX2DEC(F17),HEX2DEC(F16))-1)</f>
        <v>800FFFF</v>
      </c>
      <c r="F16" s="12">
        <v>20000</v>
      </c>
      <c r="G16" s="1">
        <f t="shared" ref="G16:G26" si="0">H16/1024</f>
        <v>128</v>
      </c>
      <c r="H16" s="13">
        <f t="shared" ref="H16:H23" si="1">HEX2DEC(F16)</f>
        <v>131072</v>
      </c>
      <c r="I16" s="14">
        <f t="shared" ref="I16:I23" si="2">H16/HEX2DEC($B$5)</f>
        <v>16</v>
      </c>
      <c r="J16" s="14" t="s">
        <v>4</v>
      </c>
      <c r="K16" s="14" t="s">
        <v>4</v>
      </c>
      <c r="L16" s="14" t="s">
        <v>4</v>
      </c>
      <c r="M16" s="15" t="s">
        <v>4</v>
      </c>
    </row>
    <row r="17" spans="1:13">
      <c r="A17" s="11" t="s">
        <v>5</v>
      </c>
      <c r="B17" s="1" t="s">
        <v>5</v>
      </c>
      <c r="C17" s="1" t="str">
        <f>DEC2HEX(HEX2DEC(C16)+HEX2DEC(F16)-HEX2DEC(F17))</f>
        <v>10000</v>
      </c>
      <c r="D17" s="1" t="str">
        <f>DEC2HEX(HEX2DEC($B$3)+HEX2DEC(C17))</f>
        <v>8010000</v>
      </c>
      <c r="E17" s="1" t="str">
        <f>DEC2HEX(HEX2DEC(D17)+HEX2DEC(F17)-1)</f>
        <v>801FFFF</v>
      </c>
      <c r="F17" s="12">
        <f>$B$9</f>
        <v>10000</v>
      </c>
      <c r="G17" s="1">
        <f t="shared" si="0"/>
        <v>64</v>
      </c>
      <c r="H17" s="13">
        <f t="shared" si="1"/>
        <v>65536</v>
      </c>
      <c r="I17" s="14">
        <f t="shared" si="2"/>
        <v>8</v>
      </c>
      <c r="J17" s="14" t="str">
        <f>$B$8</f>
        <v>Y</v>
      </c>
      <c r="K17" s="14" t="s">
        <v>4</v>
      </c>
      <c r="L17" s="14" t="s">
        <v>3</v>
      </c>
      <c r="M17" s="15" t="s">
        <v>4</v>
      </c>
    </row>
    <row r="18" spans="1:13">
      <c r="A18" s="11" t="s">
        <v>41</v>
      </c>
      <c r="B18" s="1" t="s">
        <v>24</v>
      </c>
      <c r="C18" s="1" t="str">
        <f>DEC2HEX(HEX2DEC(C17)+HEX2DEC(F17))</f>
        <v>20000</v>
      </c>
      <c r="D18" s="1" t="str">
        <f>DEC2HEX(HEX2DEC($B$3)+HEX2DEC(C18))</f>
        <v>8020000</v>
      </c>
      <c r="E18" s="1" t="str">
        <f>DEC2HEX(HEX2DEC(D18)+HEX2DEC(F18)-1)</f>
        <v>801FFFF</v>
      </c>
      <c r="F18" s="1">
        <f>IF(($B$6="N"),IF($B$7="N",10000,0),0)</f>
        <v>0</v>
      </c>
      <c r="G18" s="1">
        <f t="shared" si="0"/>
        <v>0</v>
      </c>
      <c r="H18" s="13">
        <f t="shared" si="1"/>
        <v>0</v>
      </c>
      <c r="I18" s="14">
        <f t="shared" si="2"/>
        <v>0</v>
      </c>
      <c r="J18" s="14" t="str">
        <f>IF($B$7="Y","N","Y")</f>
        <v>N</v>
      </c>
      <c r="K18" s="14" t="s">
        <v>3</v>
      </c>
      <c r="L18" s="14" t="s">
        <v>3</v>
      </c>
      <c r="M18" s="15" t="s">
        <v>4</v>
      </c>
    </row>
    <row r="19" spans="1:13">
      <c r="A19" s="11" t="s">
        <v>25</v>
      </c>
      <c r="B19" s="1">
        <v>4</v>
      </c>
      <c r="C19" s="1" t="str">
        <f>DEC2HEX(HEX2DEC(C18)+HEX2DEC(F18))</f>
        <v>20000</v>
      </c>
      <c r="D19" s="1" t="str">
        <f t="shared" ref="D19:D23" si="3">DEC2HEX(HEX2DEC($B$3)+HEX2DEC(C19))</f>
        <v>8020000</v>
      </c>
      <c r="E19" s="1" t="str">
        <f t="shared" ref="E19:E23" si="4">DEC2HEX(HEX2DEC(D19)+HEX2DEC(F19)-1)</f>
        <v>801FFFF</v>
      </c>
      <c r="F19" s="1">
        <f>$B$11</f>
        <v>0</v>
      </c>
      <c r="G19" s="1">
        <f t="shared" si="0"/>
        <v>0</v>
      </c>
      <c r="H19" s="13">
        <f t="shared" si="1"/>
        <v>0</v>
      </c>
      <c r="I19" s="14">
        <f t="shared" si="2"/>
        <v>0</v>
      </c>
      <c r="J19" s="14" t="str">
        <f>$B$10</f>
        <v>N</v>
      </c>
      <c r="K19" s="14" t="s">
        <v>3</v>
      </c>
      <c r="L19" s="14" t="s">
        <v>3</v>
      </c>
      <c r="M19" s="15" t="s">
        <v>4</v>
      </c>
    </row>
    <row r="20" spans="1:13" ht="15.75" thickBot="1">
      <c r="A20" s="16" t="s">
        <v>26</v>
      </c>
      <c r="B20" s="17">
        <v>0</v>
      </c>
      <c r="C20" s="17" t="str">
        <f t="shared" ref="C20:C22" si="5">DEC2HEX(HEX2DEC(C19)+HEX2DEC(F19))</f>
        <v>20000</v>
      </c>
      <c r="D20" s="17" t="str">
        <f t="shared" si="3"/>
        <v>8020000</v>
      </c>
      <c r="E20" s="17" t="str">
        <f t="shared" si="4"/>
        <v>80FBFFF</v>
      </c>
      <c r="F20" s="18" t="str">
        <f>DEC2HEX(IF($B$6="N",ROUNDDOWN((HEX2DEC(B4)-HEX2DEC(F16)-HEX2DEC(F18)-HEX2DEC(F23)-HEX2DEC(F19)-HEX2DEC(F22)-HEX2DEC(F23))/2/HEX2DEC($B$5),0)*HEX2DEC($B$5),(HEX2DEC(B4)-HEX2DEC(F16)-HEX2DEC(F23)-HEX2DEC(F18)-HEX2DEC(F19)-HEX2DEC(F22)-HEX2DEC(F23))))</f>
        <v>DC000</v>
      </c>
      <c r="G20" s="17">
        <f t="shared" si="0"/>
        <v>880</v>
      </c>
      <c r="H20" s="19">
        <f t="shared" si="1"/>
        <v>901120</v>
      </c>
      <c r="I20" s="20">
        <f t="shared" si="2"/>
        <v>110</v>
      </c>
      <c r="J20" s="20" t="s">
        <v>4</v>
      </c>
      <c r="K20" s="20" t="s">
        <v>3</v>
      </c>
      <c r="L20" s="20" t="s">
        <v>3</v>
      </c>
      <c r="M20" s="21" t="s">
        <v>4</v>
      </c>
    </row>
    <row r="21" spans="1:13">
      <c r="A21" s="22" t="s">
        <v>27</v>
      </c>
      <c r="B21" s="23">
        <v>2</v>
      </c>
      <c r="C21" s="23" t="str">
        <f t="shared" si="5"/>
        <v>FC000</v>
      </c>
      <c r="D21" s="23" t="str">
        <f t="shared" si="3"/>
        <v>80FC000</v>
      </c>
      <c r="E21" s="23" t="str">
        <f t="shared" si="4"/>
        <v>80FBFFF</v>
      </c>
      <c r="F21" s="24">
        <f>IF($B$6="N",F20,0)</f>
        <v>0</v>
      </c>
      <c r="G21" s="23">
        <f t="shared" si="0"/>
        <v>0</v>
      </c>
      <c r="H21" s="25">
        <f t="shared" si="1"/>
        <v>0</v>
      </c>
      <c r="I21" s="26">
        <f t="shared" si="2"/>
        <v>0</v>
      </c>
      <c r="J21" s="14" t="str">
        <f>IF($B$7="Y","N","Y")</f>
        <v>N</v>
      </c>
      <c r="K21" s="26" t="s">
        <v>3</v>
      </c>
      <c r="L21" s="26" t="s">
        <v>3</v>
      </c>
      <c r="M21" s="26" t="s">
        <v>3</v>
      </c>
    </row>
    <row r="22" spans="1:13">
      <c r="A22" s="12" t="s">
        <v>28</v>
      </c>
      <c r="B22" s="1">
        <v>6</v>
      </c>
      <c r="C22" s="1" t="str">
        <f t="shared" si="5"/>
        <v>FC000</v>
      </c>
      <c r="D22" s="1" t="str">
        <f t="shared" si="3"/>
        <v>80FC000</v>
      </c>
      <c r="E22" s="1" t="str">
        <f t="shared" si="4"/>
        <v>80FBFFF</v>
      </c>
      <c r="F22" s="1">
        <f>IF($B$10="Y",F19,0)</f>
        <v>0</v>
      </c>
      <c r="G22" s="1">
        <f t="shared" si="0"/>
        <v>0</v>
      </c>
      <c r="H22" s="13">
        <f t="shared" si="1"/>
        <v>0</v>
      </c>
      <c r="I22" s="14">
        <f t="shared" si="2"/>
        <v>0</v>
      </c>
      <c r="J22" s="14" t="str">
        <f>IF($B$7="Y","N",$B$10)</f>
        <v>N</v>
      </c>
      <c r="K22" s="14" t="s">
        <v>3</v>
      </c>
      <c r="L22" s="14" t="s">
        <v>3</v>
      </c>
      <c r="M22" s="14" t="s">
        <v>3</v>
      </c>
    </row>
    <row r="23" spans="1:13">
      <c r="A23" s="12" t="s">
        <v>38</v>
      </c>
      <c r="B23" s="1" t="s">
        <v>39</v>
      </c>
      <c r="C23" s="1" t="str">
        <f>DEC2HEX(HEX2DEC($B$4)-HEX2DEC(F23))</f>
        <v>FE000</v>
      </c>
      <c r="D23" s="1" t="str">
        <f t="shared" si="3"/>
        <v>80FE000</v>
      </c>
      <c r="E23" s="1" t="str">
        <f t="shared" si="4"/>
        <v>80FFFFF</v>
      </c>
      <c r="F23" s="1">
        <f>$B$12</f>
        <v>2000</v>
      </c>
      <c r="G23" s="1">
        <f t="shared" si="0"/>
        <v>8</v>
      </c>
      <c r="H23" s="13">
        <f t="shared" si="1"/>
        <v>8192</v>
      </c>
      <c r="I23" s="14">
        <f t="shared" si="2"/>
        <v>1</v>
      </c>
      <c r="J23" s="14" t="str">
        <f>IF($B$12=0,"N","Y")</f>
        <v>Y</v>
      </c>
      <c r="K23" s="14" t="s">
        <v>3</v>
      </c>
      <c r="L23" s="14" t="s">
        <v>3</v>
      </c>
      <c r="M23" s="14" t="s">
        <v>3</v>
      </c>
    </row>
    <row r="24" spans="1:13">
      <c r="A24" s="2" t="s">
        <v>29</v>
      </c>
      <c r="B24" s="2"/>
      <c r="C24" s="2"/>
      <c r="D24" s="2"/>
      <c r="E24" s="2"/>
      <c r="F24" s="27" t="str">
        <f>DEC2HEX(H24)</f>
        <v>FE000</v>
      </c>
      <c r="G24" s="2">
        <f t="shared" si="0"/>
        <v>1016</v>
      </c>
      <c r="H24" s="28">
        <f>SUM(H16:H23)-H17</f>
        <v>1040384</v>
      </c>
      <c r="I24" s="5">
        <f>H24/HEX2DEC($B$5)</f>
        <v>127</v>
      </c>
      <c r="J24" s="5"/>
      <c r="K24" s="5"/>
      <c r="L24" s="5"/>
      <c r="M24" s="5"/>
    </row>
    <row r="25" spans="1:13">
      <c r="A25" s="29" t="s">
        <v>30</v>
      </c>
      <c r="B25" s="5" t="s">
        <v>31</v>
      </c>
      <c r="C25" s="5"/>
      <c r="D25" s="5"/>
      <c r="E25" s="5"/>
      <c r="F25" s="28">
        <f>$B$4</f>
        <v>100000</v>
      </c>
      <c r="G25" s="2">
        <f t="shared" si="0"/>
        <v>1024</v>
      </c>
      <c r="H25" s="28">
        <f>HEX2DEC(F25)</f>
        <v>1048576</v>
      </c>
      <c r="I25" s="5">
        <f t="shared" ref="I25:I26" si="6">H25/HEX2DEC($B$5)</f>
        <v>128</v>
      </c>
      <c r="J25" s="5"/>
      <c r="K25" s="5"/>
      <c r="L25" s="5"/>
      <c r="M25" s="5"/>
    </row>
    <row r="26" spans="1:13">
      <c r="A26" s="29" t="s">
        <v>32</v>
      </c>
      <c r="B26" s="5"/>
      <c r="C26" s="5"/>
      <c r="D26" s="5"/>
      <c r="E26" s="5"/>
      <c r="F26" s="28" t="str">
        <f>DEC2HEX(H26)</f>
        <v>2000</v>
      </c>
      <c r="G26" s="2">
        <f t="shared" si="0"/>
        <v>8</v>
      </c>
      <c r="H26" s="28">
        <f>H25-H24</f>
        <v>8192</v>
      </c>
      <c r="I26" s="5">
        <f t="shared" si="6"/>
        <v>1</v>
      </c>
      <c r="J26" s="5"/>
      <c r="K26" s="5"/>
      <c r="L26" s="5"/>
      <c r="M26" s="5"/>
    </row>
    <row r="29" spans="1:13" ht="15.75" thickBot="1">
      <c r="A29" t="s">
        <v>44</v>
      </c>
    </row>
    <row r="30" spans="1:13">
      <c r="A30" s="7" t="s">
        <v>10</v>
      </c>
      <c r="B30" s="8" t="s">
        <v>11</v>
      </c>
      <c r="C30" s="8" t="s">
        <v>12</v>
      </c>
      <c r="D30" s="8" t="s">
        <v>13</v>
      </c>
      <c r="E30" s="8" t="s">
        <v>14</v>
      </c>
      <c r="F30" s="8" t="s">
        <v>15</v>
      </c>
      <c r="G30" s="8" t="s">
        <v>16</v>
      </c>
      <c r="H30" s="8" t="s">
        <v>17</v>
      </c>
      <c r="I30" s="8" t="s">
        <v>18</v>
      </c>
      <c r="J30" s="8" t="s">
        <v>42</v>
      </c>
      <c r="K30" s="9" t="s">
        <v>19</v>
      </c>
      <c r="L30" s="9" t="s">
        <v>20</v>
      </c>
      <c r="M30" s="10" t="s">
        <v>21</v>
      </c>
    </row>
    <row r="31" spans="1:13">
      <c r="A31" s="11" t="s">
        <v>22</v>
      </c>
      <c r="B31" s="1" t="s">
        <v>23</v>
      </c>
      <c r="C31" s="1">
        <v>0</v>
      </c>
      <c r="D31" s="1" t="str">
        <f>DEC2HEX(HEX2DEC($B$3)+HEX2DEC(C31))</f>
        <v>8000000</v>
      </c>
      <c r="E31" s="1" t="str">
        <f>DEC2HEX(HEX2DEC(D31)+IF(($B$8="Y"),HEX2DEC(F31)-HEX2DEC(F32),HEX2DEC(F31))-1)</f>
        <v>800FFFF</v>
      </c>
      <c r="F31" s="12">
        <v>20000</v>
      </c>
      <c r="G31" s="1">
        <f t="shared" ref="G31:G42" si="7">H31/1024</f>
        <v>128</v>
      </c>
      <c r="H31" s="13">
        <f t="shared" ref="H31:H39" si="8">HEX2DEC(F31)</f>
        <v>131072</v>
      </c>
      <c r="I31" s="14">
        <f t="shared" ref="I31:I39" si="9">H31/HEX2DEC($B$5)</f>
        <v>16</v>
      </c>
      <c r="J31" s="14" t="s">
        <v>4</v>
      </c>
      <c r="K31" s="14" t="s">
        <v>4</v>
      </c>
      <c r="L31" s="14" t="s">
        <v>4</v>
      </c>
      <c r="M31" s="15" t="s">
        <v>4</v>
      </c>
    </row>
    <row r="32" spans="1:13">
      <c r="A32" s="11" t="s">
        <v>5</v>
      </c>
      <c r="B32" s="1" t="s">
        <v>5</v>
      </c>
      <c r="C32" s="1" t="str">
        <f>DEC2HEX(HEX2DEC(C31)+HEX2DEC(F31)-HEX2DEC(F32))</f>
        <v>10000</v>
      </c>
      <c r="D32" s="1" t="str">
        <f>DEC2HEX(HEX2DEC($B$3)+HEX2DEC(C32))</f>
        <v>8010000</v>
      </c>
      <c r="E32" s="1" t="str">
        <f>DEC2HEX(HEX2DEC(D32)+HEX2DEC(F32)-1)</f>
        <v>801FFFF</v>
      </c>
      <c r="F32" s="12">
        <f>$B$9</f>
        <v>10000</v>
      </c>
      <c r="G32" s="1">
        <f t="shared" si="7"/>
        <v>64</v>
      </c>
      <c r="H32" s="13">
        <f t="shared" si="8"/>
        <v>65536</v>
      </c>
      <c r="I32" s="14">
        <f t="shared" si="9"/>
        <v>8</v>
      </c>
      <c r="J32" s="14" t="str">
        <f>$B$8</f>
        <v>Y</v>
      </c>
      <c r="K32" s="14" t="s">
        <v>4</v>
      </c>
      <c r="L32" s="14" t="s">
        <v>3</v>
      </c>
      <c r="M32" s="15" t="s">
        <v>4</v>
      </c>
    </row>
    <row r="33" spans="1:13">
      <c r="A33" s="11" t="s">
        <v>41</v>
      </c>
      <c r="B33" s="1" t="s">
        <v>24</v>
      </c>
      <c r="C33" s="1" t="str">
        <f>DEC2HEX(HEX2DEC(C32)+HEX2DEC(F32))</f>
        <v>20000</v>
      </c>
      <c r="D33" s="1" t="str">
        <f>DEC2HEX(HEX2DEC($B$3)+HEX2DEC(C33))</f>
        <v>8020000</v>
      </c>
      <c r="E33" s="1" t="str">
        <f>DEC2HEX(HEX2DEC(D33)+HEX2DEC(F33)-1)</f>
        <v>801FFFF</v>
      </c>
      <c r="F33" s="1">
        <f>IF(($B$6="N"),IF($B$7="N",10000,0),0)</f>
        <v>0</v>
      </c>
      <c r="G33" s="1">
        <f t="shared" si="7"/>
        <v>0</v>
      </c>
      <c r="H33" s="13">
        <f t="shared" si="8"/>
        <v>0</v>
      </c>
      <c r="I33" s="14">
        <f t="shared" si="9"/>
        <v>0</v>
      </c>
      <c r="J33" s="14" t="str">
        <f>IF($B$7="Y","N","Y")</f>
        <v>N</v>
      </c>
      <c r="K33" s="14" t="s">
        <v>3</v>
      </c>
      <c r="L33" s="14" t="s">
        <v>3</v>
      </c>
      <c r="M33" s="15" t="s">
        <v>4</v>
      </c>
    </row>
    <row r="34" spans="1:13">
      <c r="A34" s="11" t="s">
        <v>25</v>
      </c>
      <c r="B34" s="1">
        <v>4</v>
      </c>
      <c r="C34" s="1" t="str">
        <f>DEC2HEX(HEX2DEC(C33)+HEX2DEC(F33))</f>
        <v>20000</v>
      </c>
      <c r="D34" s="1" t="str">
        <f t="shared" ref="D34:D39" si="10">DEC2HEX(HEX2DEC($B$3)+HEX2DEC(C34))</f>
        <v>8020000</v>
      </c>
      <c r="E34" s="1" t="str">
        <f t="shared" ref="E34:E39" si="11">DEC2HEX(HEX2DEC(D34)+HEX2DEC(F34)-1)</f>
        <v>801FFFF</v>
      </c>
      <c r="F34" s="1">
        <f>$B$11</f>
        <v>0</v>
      </c>
      <c r="G34" s="1">
        <f t="shared" si="7"/>
        <v>0</v>
      </c>
      <c r="H34" s="13">
        <f t="shared" si="8"/>
        <v>0</v>
      </c>
      <c r="I34" s="14">
        <f t="shared" si="9"/>
        <v>0</v>
      </c>
      <c r="J34" s="14" t="str">
        <f>$B$10</f>
        <v>N</v>
      </c>
      <c r="K34" s="14" t="s">
        <v>3</v>
      </c>
      <c r="L34" s="14" t="s">
        <v>3</v>
      </c>
      <c r="M34" s="15" t="s">
        <v>4</v>
      </c>
    </row>
    <row r="35" spans="1:13" ht="15.75" thickBot="1">
      <c r="A35" s="16" t="s">
        <v>26</v>
      </c>
      <c r="B35" s="17">
        <v>0</v>
      </c>
      <c r="C35" s="17" t="str">
        <f t="shared" ref="C35:C38" si="12">DEC2HEX(HEX2DEC(C34)+HEX2DEC(F34))</f>
        <v>20000</v>
      </c>
      <c r="D35" s="17" t="str">
        <f t="shared" si="10"/>
        <v>8020000</v>
      </c>
      <c r="E35" s="17" t="str">
        <f t="shared" si="11"/>
        <v>8035FFF</v>
      </c>
      <c r="F35" s="30">
        <v>16000</v>
      </c>
      <c r="G35" s="17">
        <f t="shared" si="7"/>
        <v>88</v>
      </c>
      <c r="H35" s="19">
        <f t="shared" si="8"/>
        <v>90112</v>
      </c>
      <c r="I35" s="20">
        <f t="shared" si="9"/>
        <v>11</v>
      </c>
      <c r="J35" s="20" t="s">
        <v>4</v>
      </c>
      <c r="K35" s="20" t="s">
        <v>3</v>
      </c>
      <c r="L35" s="20" t="s">
        <v>3</v>
      </c>
      <c r="M35" s="21" t="s">
        <v>4</v>
      </c>
    </row>
    <row r="36" spans="1:13">
      <c r="A36" s="22" t="s">
        <v>27</v>
      </c>
      <c r="B36" s="23">
        <v>2</v>
      </c>
      <c r="C36" s="23" t="str">
        <f t="shared" si="12"/>
        <v>36000</v>
      </c>
      <c r="D36" s="23" t="str">
        <f t="shared" si="10"/>
        <v>8036000</v>
      </c>
      <c r="E36" s="23" t="str">
        <f t="shared" si="11"/>
        <v>8035FFF</v>
      </c>
      <c r="F36" s="31">
        <f>IF($B$6="N",F35,0)</f>
        <v>0</v>
      </c>
      <c r="G36" s="23">
        <f t="shared" si="7"/>
        <v>0</v>
      </c>
      <c r="H36" s="25">
        <f t="shared" si="8"/>
        <v>0</v>
      </c>
      <c r="I36" s="26">
        <f t="shared" si="9"/>
        <v>0</v>
      </c>
      <c r="J36" s="14" t="str">
        <f>IF($B$7="Y","N","Y")</f>
        <v>N</v>
      </c>
      <c r="K36" s="26" t="s">
        <v>3</v>
      </c>
      <c r="L36" s="26" t="s">
        <v>3</v>
      </c>
      <c r="M36" s="26" t="s">
        <v>3</v>
      </c>
    </row>
    <row r="37" spans="1:13">
      <c r="A37" s="12" t="s">
        <v>28</v>
      </c>
      <c r="B37" s="1">
        <v>6</v>
      </c>
      <c r="C37" s="1" t="str">
        <f t="shared" si="12"/>
        <v>36000</v>
      </c>
      <c r="D37" s="1" t="str">
        <f t="shared" si="10"/>
        <v>8036000</v>
      </c>
      <c r="E37" s="1" t="str">
        <f t="shared" si="11"/>
        <v>8035FFF</v>
      </c>
      <c r="F37" s="1">
        <f>IF($B$10="Y",F34,0)</f>
        <v>0</v>
      </c>
      <c r="G37" s="1">
        <f t="shared" si="7"/>
        <v>0</v>
      </c>
      <c r="H37" s="13">
        <f t="shared" si="8"/>
        <v>0</v>
      </c>
      <c r="I37" s="14">
        <f t="shared" si="9"/>
        <v>0</v>
      </c>
      <c r="J37" s="14" t="str">
        <f>IF($B$7="Y","N",$B$10)</f>
        <v>N</v>
      </c>
      <c r="K37" s="14" t="s">
        <v>3</v>
      </c>
      <c r="L37" s="14" t="s">
        <v>3</v>
      </c>
      <c r="M37" s="14" t="s">
        <v>3</v>
      </c>
    </row>
    <row r="38" spans="1:13">
      <c r="A38" s="32" t="s">
        <v>45</v>
      </c>
      <c r="B38" s="33" t="s">
        <v>46</v>
      </c>
      <c r="C38" s="33" t="str">
        <f t="shared" si="12"/>
        <v>36000</v>
      </c>
      <c r="D38" s="33" t="str">
        <f t="shared" si="10"/>
        <v>8036000</v>
      </c>
      <c r="E38" s="33" t="str">
        <f t="shared" si="11"/>
        <v>80FDFFF</v>
      </c>
      <c r="F38" s="33" t="str">
        <f>DEC2HEX(HEX2DEC(C39)-HEX2DEC(C38))</f>
        <v>C8000</v>
      </c>
      <c r="G38" s="33">
        <f t="shared" si="7"/>
        <v>800</v>
      </c>
      <c r="H38" s="34">
        <f t="shared" si="8"/>
        <v>819200</v>
      </c>
      <c r="I38" s="35">
        <f t="shared" si="9"/>
        <v>100</v>
      </c>
      <c r="J38" s="35"/>
      <c r="K38" s="35"/>
      <c r="L38" s="35"/>
      <c r="M38" s="35"/>
    </row>
    <row r="39" spans="1:13">
      <c r="A39" s="12" t="s">
        <v>38</v>
      </c>
      <c r="B39" s="1" t="s">
        <v>39</v>
      </c>
      <c r="C39" s="1" t="str">
        <f>DEC2HEX(HEX2DEC($B$4)-HEX2DEC(F39))</f>
        <v>FE000</v>
      </c>
      <c r="D39" s="1" t="str">
        <f t="shared" si="10"/>
        <v>80FE000</v>
      </c>
      <c r="E39" s="1" t="str">
        <f t="shared" si="11"/>
        <v>80FFFFF</v>
      </c>
      <c r="F39" s="1">
        <f>$B$12</f>
        <v>2000</v>
      </c>
      <c r="G39" s="1">
        <f t="shared" si="7"/>
        <v>8</v>
      </c>
      <c r="H39" s="13">
        <f t="shared" si="8"/>
        <v>8192</v>
      </c>
      <c r="I39" s="14">
        <f t="shared" si="9"/>
        <v>1</v>
      </c>
      <c r="J39" s="14" t="str">
        <f>IF($B$12=0,"N","Y")</f>
        <v>Y</v>
      </c>
      <c r="K39" s="14" t="s">
        <v>3</v>
      </c>
      <c r="L39" s="14" t="s">
        <v>3</v>
      </c>
      <c r="M39" s="14" t="s">
        <v>3</v>
      </c>
    </row>
    <row r="40" spans="1:13">
      <c r="A40" s="2" t="s">
        <v>29</v>
      </c>
      <c r="B40" s="2"/>
      <c r="C40" s="2"/>
      <c r="D40" s="2"/>
      <c r="E40" s="2"/>
      <c r="F40" s="27" t="str">
        <f>DEC2HEX(H40)</f>
        <v>100000</v>
      </c>
      <c r="G40" s="2">
        <f t="shared" si="7"/>
        <v>1024</v>
      </c>
      <c r="H40" s="28">
        <f>SUM(H31:H39)-H32</f>
        <v>1048576</v>
      </c>
      <c r="I40" s="5">
        <f>H40/HEX2DEC($B$5)</f>
        <v>128</v>
      </c>
      <c r="J40" s="5"/>
      <c r="K40" s="5"/>
      <c r="L40" s="5"/>
      <c r="M40" s="5"/>
    </row>
    <row r="41" spans="1:13">
      <c r="A41" s="29" t="s">
        <v>30</v>
      </c>
      <c r="B41" s="5" t="s">
        <v>31</v>
      </c>
      <c r="C41" s="5"/>
      <c r="D41" s="5"/>
      <c r="E41" s="5"/>
      <c r="F41" s="28">
        <f>$B$4</f>
        <v>100000</v>
      </c>
      <c r="G41" s="2">
        <f t="shared" si="7"/>
        <v>1024</v>
      </c>
      <c r="H41" s="28">
        <f>HEX2DEC(F41)</f>
        <v>1048576</v>
      </c>
      <c r="I41" s="5">
        <f t="shared" ref="I41:I42" si="13">H41/HEX2DEC($B$5)</f>
        <v>128</v>
      </c>
      <c r="J41" s="5"/>
      <c r="K41" s="5"/>
      <c r="L41" s="5"/>
      <c r="M41" s="5"/>
    </row>
    <row r="42" spans="1:13">
      <c r="A42" s="29" t="s">
        <v>32</v>
      </c>
      <c r="B42" s="5"/>
      <c r="C42" s="5"/>
      <c r="D42" s="5"/>
      <c r="E42" s="5"/>
      <c r="F42" s="28" t="str">
        <f>DEC2HEX(H42)</f>
        <v>0</v>
      </c>
      <c r="G42" s="2">
        <f t="shared" si="7"/>
        <v>0</v>
      </c>
      <c r="H42" s="28">
        <f>H41-H40</f>
        <v>0</v>
      </c>
      <c r="I42" s="5">
        <f t="shared" si="13"/>
        <v>0</v>
      </c>
      <c r="J42" s="5"/>
      <c r="K42" s="5"/>
      <c r="L42" s="5"/>
      <c r="M42" s="5"/>
    </row>
  </sheetData>
  <conditionalFormatting sqref="B6:B8 B10">
    <cfRule type="cellIs" dxfId="17" priority="7" operator="equal">
      <formula>"Y"</formula>
    </cfRule>
    <cfRule type="cellIs" dxfId="16" priority="8" operator="equal">
      <formula>"N"</formula>
    </cfRule>
  </conditionalFormatting>
  <conditionalFormatting sqref="J30:J39">
    <cfRule type="cellIs" dxfId="15" priority="1" operator="equal">
      <formula>"Y"</formula>
    </cfRule>
    <cfRule type="cellIs" dxfId="14" priority="2" operator="equal">
      <formula>"N"</formula>
    </cfRule>
  </conditionalFormatting>
  <conditionalFormatting sqref="J16:M23">
    <cfRule type="cellIs" dxfId="13" priority="5" operator="equal">
      <formula>"Y"</formula>
    </cfRule>
    <cfRule type="cellIs" dxfId="12" priority="6" operator="equal">
      <formula>"N"</formula>
    </cfRule>
  </conditionalFormatting>
  <conditionalFormatting sqref="K31:M39">
    <cfRule type="cellIs" dxfId="11" priority="3" operator="equal">
      <formula>"N"</formula>
    </cfRule>
    <cfRule type="cellIs" dxfId="10" priority="4" operator="equal">
      <formula>"Y"</formula>
    </cfRule>
  </conditionalFormatting>
  <dataValidations count="4">
    <dataValidation type="whole" operator="lessThanOrEqual" allowBlank="1" showInputMessage="1" showErrorMessage="1" sqref="F24 F40" xr:uid="{632FDDA8-3FA1-4F37-99C7-758A94B36691}">
      <formula1>F25</formula1>
    </dataValidation>
    <dataValidation type="list" allowBlank="1" showDropDown="1" showInputMessage="1" showErrorMessage="1" sqref="J16:J17 J31:J32" xr:uid="{A0925AB9-F7DC-4478-8AB4-2CD690CFFB04}">
      <formula1>$B$1:$B$2</formula1>
    </dataValidation>
    <dataValidation type="list" allowBlank="1" showInputMessage="1" showErrorMessage="1" sqref="B10 B6:B8 K16:M23 K31:M39" xr:uid="{201037E1-C9E2-4D01-8930-F2CE3B3AC9E7}">
      <formula1>$B$1:$B$2</formula1>
    </dataValidation>
    <dataValidation type="decimal" operator="lessThanOrEqual" allowBlank="1" showInputMessage="1" showErrorMessage="1" errorTitle="Error" error="Total size consumed cannot exceed total user flash size!" sqref="H24 H40" xr:uid="{BAEB8AEE-6179-42CC-8FEE-A0AA0FA5767B}">
      <formula1>H25</formula1>
    </dataValidation>
  </dataValidation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41F7F-4FCA-4FA8-9278-8A6044901D08}">
  <dimension ref="A1:M46"/>
  <sheetViews>
    <sheetView topLeftCell="A14" zoomScale="130" zoomScaleNormal="130" workbookViewId="0">
      <selection activeCell="Q31" sqref="Q31"/>
    </sheetView>
  </sheetViews>
  <sheetFormatPr defaultRowHeight="15"/>
  <cols>
    <col min="1" max="1" width="25.28515625" bestFit="1" customWidth="1"/>
    <col min="6" max="6" width="11.140625" bestFit="1" customWidth="1"/>
    <col min="8" max="8" width="11" bestFit="1" customWidth="1"/>
  </cols>
  <sheetData>
    <row r="1" spans="1:13" hidden="1">
      <c r="A1" s="5"/>
      <c r="B1" s="6" t="s">
        <v>4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hidden="1">
      <c r="A2" s="5"/>
      <c r="B2" s="6" t="s">
        <v>3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>
      <c r="A3" s="3" t="s">
        <v>0</v>
      </c>
      <c r="B3" s="4">
        <v>8000000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>
      <c r="A4" s="3" t="s">
        <v>1</v>
      </c>
      <c r="B4" s="4">
        <v>100000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</row>
    <row r="5" spans="1:13">
      <c r="A5" s="3" t="s">
        <v>2</v>
      </c>
      <c r="B5" s="4">
        <v>2000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</row>
    <row r="6" spans="1:13">
      <c r="A6" s="13" t="s">
        <v>36</v>
      </c>
      <c r="B6" s="6" t="s">
        <v>4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</row>
    <row r="7" spans="1:13">
      <c r="A7" s="13" t="s">
        <v>37</v>
      </c>
      <c r="B7" s="6" t="s">
        <v>4</v>
      </c>
      <c r="C7" s="5" t="s">
        <v>35</v>
      </c>
      <c r="D7" s="5"/>
      <c r="E7" s="5"/>
      <c r="F7" s="5"/>
      <c r="G7" s="5"/>
      <c r="H7" s="5"/>
      <c r="I7" s="5"/>
      <c r="J7" s="5"/>
      <c r="K7" s="5"/>
      <c r="L7" s="5"/>
      <c r="M7" s="5"/>
    </row>
    <row r="8" spans="1:13">
      <c r="A8" s="13" t="s">
        <v>33</v>
      </c>
      <c r="B8" s="6" t="s">
        <v>4</v>
      </c>
      <c r="C8" s="5" t="s">
        <v>6</v>
      </c>
      <c r="D8" s="5"/>
      <c r="E8" s="5"/>
      <c r="F8" s="5"/>
      <c r="G8" s="5"/>
      <c r="H8" s="5"/>
      <c r="I8" s="5"/>
      <c r="J8" s="5"/>
      <c r="K8" s="5"/>
      <c r="L8" s="5"/>
      <c r="M8" s="5"/>
    </row>
    <row r="9" spans="1:13">
      <c r="A9" s="13" t="s">
        <v>34</v>
      </c>
      <c r="B9" s="2">
        <v>10000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</row>
    <row r="10" spans="1:13">
      <c r="A10" s="13" t="s">
        <v>7</v>
      </c>
      <c r="B10" s="6" t="s">
        <v>3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</row>
    <row r="11" spans="1:13">
      <c r="A11" s="13" t="s">
        <v>8</v>
      </c>
      <c r="B11" s="6">
        <f>IF(($B$10="Y"),$B$5,0)</f>
        <v>0</v>
      </c>
      <c r="C11" s="5" t="s">
        <v>9</v>
      </c>
      <c r="D11" s="5"/>
      <c r="E11" s="5"/>
      <c r="F11" s="5"/>
      <c r="G11" s="5"/>
      <c r="H11" s="5"/>
      <c r="I11" s="5"/>
      <c r="J11" s="5"/>
      <c r="K11" s="5"/>
      <c r="L11" s="5"/>
      <c r="M11" s="5"/>
    </row>
    <row r="12" spans="1:13">
      <c r="A12" s="13" t="s">
        <v>40</v>
      </c>
      <c r="B12" s="6">
        <v>0</v>
      </c>
      <c r="C12" s="5" t="s">
        <v>50</v>
      </c>
      <c r="D12" s="5"/>
      <c r="E12" s="5"/>
      <c r="F12" s="5"/>
      <c r="G12" s="5"/>
      <c r="H12" s="5"/>
      <c r="I12" s="5"/>
      <c r="J12" s="5"/>
      <c r="K12" s="5"/>
      <c r="L12" s="5"/>
      <c r="M12" s="5"/>
    </row>
    <row r="13" spans="1:13">
      <c r="A13" s="36" t="s">
        <v>47</v>
      </c>
      <c r="B13" s="6" t="s">
        <v>4</v>
      </c>
      <c r="C13" s="5" t="s">
        <v>48</v>
      </c>
      <c r="D13" s="5"/>
      <c r="E13" s="5"/>
      <c r="F13" s="5"/>
      <c r="G13" s="5"/>
      <c r="H13" s="5"/>
      <c r="I13" s="5"/>
      <c r="J13" s="5"/>
      <c r="K13" s="5"/>
      <c r="L13" s="5"/>
      <c r="M13" s="5"/>
    </row>
    <row r="14" spans="1:13" ht="16.5" customHeight="1">
      <c r="A14" s="36" t="s">
        <v>52</v>
      </c>
      <c r="B14" s="6">
        <v>2000</v>
      </c>
      <c r="C14" s="5" t="s">
        <v>53</v>
      </c>
      <c r="D14" s="5"/>
      <c r="E14" s="5"/>
      <c r="F14" s="5"/>
      <c r="G14" s="5"/>
      <c r="H14" s="5"/>
      <c r="I14" s="5"/>
      <c r="J14" s="5"/>
      <c r="K14" s="5"/>
      <c r="L14" s="5"/>
      <c r="M14" s="5"/>
    </row>
    <row r="15" spans="1:13" ht="16.5" customHeight="1">
      <c r="A15" s="37"/>
      <c r="B15" s="6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</row>
    <row r="16" spans="1:13" ht="16.5" customHeight="1" thickBot="1">
      <c r="A16" s="5" t="s">
        <v>43</v>
      </c>
      <c r="B16" s="6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</row>
    <row r="17" spans="1:13">
      <c r="A17" s="7" t="s">
        <v>10</v>
      </c>
      <c r="B17" s="8" t="s">
        <v>11</v>
      </c>
      <c r="C17" s="8" t="s">
        <v>12</v>
      </c>
      <c r="D17" s="8" t="s">
        <v>13</v>
      </c>
      <c r="E17" s="8" t="s">
        <v>14</v>
      </c>
      <c r="F17" s="8" t="s">
        <v>15</v>
      </c>
      <c r="G17" s="8" t="s">
        <v>16</v>
      </c>
      <c r="H17" s="8" t="s">
        <v>17</v>
      </c>
      <c r="I17" s="8" t="s">
        <v>18</v>
      </c>
      <c r="J17" s="8" t="s">
        <v>42</v>
      </c>
      <c r="K17" s="9" t="s">
        <v>19</v>
      </c>
      <c r="L17" s="9" t="s">
        <v>20</v>
      </c>
      <c r="M17" s="10" t="s">
        <v>21</v>
      </c>
    </row>
    <row r="18" spans="1:13">
      <c r="A18" s="11" t="s">
        <v>22</v>
      </c>
      <c r="B18" s="1" t="s">
        <v>23</v>
      </c>
      <c r="C18" s="1">
        <v>0</v>
      </c>
      <c r="D18" s="1" t="str">
        <f>DEC2HEX(HEX2DEC($B$3)+HEX2DEC(C18))</f>
        <v>8000000</v>
      </c>
      <c r="E18" s="1" t="str">
        <f>DEC2HEX(HEX2DEC(D18)+IF(($B$8="Y"),HEX2DEC(F18)-HEX2DEC(F19),HEX2DEC(F18))-1)</f>
        <v>800FFFF</v>
      </c>
      <c r="F18" s="12">
        <v>20000</v>
      </c>
      <c r="G18" s="1">
        <f t="shared" ref="G18:G30" si="0">H18/1024</f>
        <v>128</v>
      </c>
      <c r="H18" s="13">
        <f t="shared" ref="H18:H24" si="1">HEX2DEC(F18)</f>
        <v>131072</v>
      </c>
      <c r="I18" s="14">
        <f t="shared" ref="I18:I24" si="2">H18/HEX2DEC($B$5)</f>
        <v>16</v>
      </c>
      <c r="J18" s="14" t="s">
        <v>4</v>
      </c>
      <c r="K18" s="14" t="str">
        <f>IF($B$13="Y","N","Y")</f>
        <v>N</v>
      </c>
      <c r="L18" s="14" t="str">
        <f>IF($B$13="Y","N","Y")</f>
        <v>N</v>
      </c>
      <c r="M18" s="15" t="s">
        <v>4</v>
      </c>
    </row>
    <row r="19" spans="1:13">
      <c r="A19" s="11" t="s">
        <v>5</v>
      </c>
      <c r="B19" s="1" t="s">
        <v>5</v>
      </c>
      <c r="C19" s="1" t="str">
        <f>DEC2HEX(HEX2DEC(C18)+HEX2DEC(F18)-HEX2DEC(F19))</f>
        <v>10000</v>
      </c>
      <c r="D19" s="1" t="str">
        <f>DEC2HEX(HEX2DEC($B$3)+HEX2DEC(C19))</f>
        <v>8010000</v>
      </c>
      <c r="E19" s="1" t="str">
        <f>DEC2HEX(HEX2DEC(D19)+HEX2DEC(F19)-1)</f>
        <v>801FFFF</v>
      </c>
      <c r="F19" s="12">
        <f>$B$9</f>
        <v>10000</v>
      </c>
      <c r="G19" s="1">
        <f t="shared" si="0"/>
        <v>64</v>
      </c>
      <c r="H19" s="13">
        <f t="shared" si="1"/>
        <v>65536</v>
      </c>
      <c r="I19" s="14">
        <f t="shared" si="2"/>
        <v>8</v>
      </c>
      <c r="J19" s="14" t="str">
        <f>$B$8</f>
        <v>Y</v>
      </c>
      <c r="K19" s="14" t="str">
        <f>IF($B$13="Y","N","Y")</f>
        <v>N</v>
      </c>
      <c r="L19" s="14" t="s">
        <v>3</v>
      </c>
      <c r="M19" s="15" t="s">
        <v>4</v>
      </c>
    </row>
    <row r="20" spans="1:13">
      <c r="A20" s="11" t="s">
        <v>41</v>
      </c>
      <c r="B20" s="1" t="s">
        <v>24</v>
      </c>
      <c r="C20" s="1" t="str">
        <f>DEC2HEX(HEX2DEC(C19)+HEX2DEC(F19))</f>
        <v>20000</v>
      </c>
      <c r="D20" s="1" t="str">
        <f>DEC2HEX(HEX2DEC($B$3)+HEX2DEC(C20))</f>
        <v>8020000</v>
      </c>
      <c r="E20" s="1" t="str">
        <f>DEC2HEX(HEX2DEC(D20)+HEX2DEC(F20)-1)</f>
        <v>801FFFF</v>
      </c>
      <c r="F20" s="1">
        <f>IF(($B$6="N"),IF($B$7="N",10000,0),0)</f>
        <v>0</v>
      </c>
      <c r="G20" s="1">
        <f t="shared" si="0"/>
        <v>0</v>
      </c>
      <c r="H20" s="13">
        <f t="shared" si="1"/>
        <v>0</v>
      </c>
      <c r="I20" s="14">
        <f t="shared" si="2"/>
        <v>0</v>
      </c>
      <c r="J20" s="14" t="str">
        <f>IF($B$7="Y","N","Y")</f>
        <v>N</v>
      </c>
      <c r="K20" s="14" t="s">
        <v>3</v>
      </c>
      <c r="L20" s="14" t="s">
        <v>3</v>
      </c>
      <c r="M20" s="15" t="s">
        <v>4</v>
      </c>
    </row>
    <row r="21" spans="1:13">
      <c r="A21" s="11" t="s">
        <v>25</v>
      </c>
      <c r="B21" s="1">
        <v>4</v>
      </c>
      <c r="C21" s="1" t="str">
        <f>DEC2HEX(HEX2DEC(C20)+HEX2DEC(F20))</f>
        <v>20000</v>
      </c>
      <c r="D21" s="1" t="str">
        <f t="shared" ref="D21:D24" si="3">DEC2HEX(HEX2DEC($B$3)+HEX2DEC(C21))</f>
        <v>8020000</v>
      </c>
      <c r="E21" s="1" t="str">
        <f t="shared" ref="E21:E24" si="4">DEC2HEX(HEX2DEC(D21)+HEX2DEC(F21)-1)</f>
        <v>801FFFF</v>
      </c>
      <c r="F21" s="1">
        <f>$B$11</f>
        <v>0</v>
      </c>
      <c r="G21" s="1">
        <f t="shared" si="0"/>
        <v>0</v>
      </c>
      <c r="H21" s="13">
        <f t="shared" si="1"/>
        <v>0</v>
      </c>
      <c r="I21" s="14">
        <f t="shared" si="2"/>
        <v>0</v>
      </c>
      <c r="J21" s="14" t="str">
        <f>$B$10</f>
        <v>N</v>
      </c>
      <c r="K21" s="14" t="s">
        <v>3</v>
      </c>
      <c r="L21" s="14" t="s">
        <v>3</v>
      </c>
      <c r="M21" s="15" t="s">
        <v>4</v>
      </c>
    </row>
    <row r="22" spans="1:13" ht="15.75" thickBot="1">
      <c r="A22" s="16" t="s">
        <v>26</v>
      </c>
      <c r="B22" s="17">
        <v>0</v>
      </c>
      <c r="C22" s="17" t="str">
        <f t="shared" ref="C22:C24" si="5">DEC2HEX(HEX2DEC(C21)+HEX2DEC(F21))</f>
        <v>20000</v>
      </c>
      <c r="D22" s="17" t="str">
        <f t="shared" si="3"/>
        <v>8020000</v>
      </c>
      <c r="E22" s="17" t="str">
        <f t="shared" si="4"/>
        <v>80DDFFF</v>
      </c>
      <c r="F22" s="18" t="str">
        <f>DEC2HEX(IF($B$6="N",ROUNDDOWN((HEX2DEC(B4)-HEX2DEC(F18)-HEX2DEC(F20)-HEX2DEC(F27)-HEX2DEC(F21)-HEX2DEC(F24)-HEX2DEC(F25)-HEX2DEC(F26)-HEX2DEC(F27))/2/HEX2DEC($B$5),0)*HEX2DEC($B$5),(HEX2DEC(B4)-HEX2DEC(F18)-HEX2DEC(F27)-HEX2DEC(F20)-HEX2DEC(F21)-HEX2DEC(F24)-HEX2DEC(F25)-HEX2DEC(F26)-HEX2DEC(F27))))</f>
        <v>BE000</v>
      </c>
      <c r="G22" s="17">
        <f t="shared" si="0"/>
        <v>760</v>
      </c>
      <c r="H22" s="19">
        <f t="shared" si="1"/>
        <v>778240</v>
      </c>
      <c r="I22" s="20">
        <f t="shared" si="2"/>
        <v>95</v>
      </c>
      <c r="J22" s="20" t="s">
        <v>4</v>
      </c>
      <c r="K22" s="20" t="s">
        <v>3</v>
      </c>
      <c r="L22" s="20" t="s">
        <v>3</v>
      </c>
      <c r="M22" s="21" t="s">
        <v>4</v>
      </c>
    </row>
    <row r="23" spans="1:13">
      <c r="A23" s="22" t="s">
        <v>27</v>
      </c>
      <c r="B23" s="23">
        <v>2</v>
      </c>
      <c r="C23" s="23" t="str">
        <f t="shared" si="5"/>
        <v>DE000</v>
      </c>
      <c r="D23" s="23" t="str">
        <f t="shared" si="3"/>
        <v>80DE000</v>
      </c>
      <c r="E23" s="23" t="str">
        <f t="shared" si="4"/>
        <v>80DDFFF</v>
      </c>
      <c r="F23" s="24">
        <f>IF($B$6="N",F22,0)</f>
        <v>0</v>
      </c>
      <c r="G23" s="23">
        <f t="shared" si="0"/>
        <v>0</v>
      </c>
      <c r="H23" s="25">
        <f t="shared" si="1"/>
        <v>0</v>
      </c>
      <c r="I23" s="26">
        <f t="shared" si="2"/>
        <v>0</v>
      </c>
      <c r="J23" s="14" t="str">
        <f>IF($B$7="Y","N","Y")</f>
        <v>N</v>
      </c>
      <c r="K23" s="26" t="s">
        <v>3</v>
      </c>
      <c r="L23" s="26" t="s">
        <v>3</v>
      </c>
      <c r="M23" s="26" t="s">
        <v>3</v>
      </c>
    </row>
    <row r="24" spans="1:13">
      <c r="A24" s="12" t="s">
        <v>28</v>
      </c>
      <c r="B24" s="1">
        <v>6</v>
      </c>
      <c r="C24" s="1" t="str">
        <f t="shared" si="5"/>
        <v>DE000</v>
      </c>
      <c r="D24" s="1" t="str">
        <f t="shared" si="3"/>
        <v>80DE000</v>
      </c>
      <c r="E24" s="1" t="str">
        <f t="shared" si="4"/>
        <v>80DDFFF</v>
      </c>
      <c r="F24" s="1">
        <f>IF($B$10="Y",F21,0)</f>
        <v>0</v>
      </c>
      <c r="G24" s="1">
        <f t="shared" si="0"/>
        <v>0</v>
      </c>
      <c r="H24" s="13">
        <f t="shared" si="1"/>
        <v>0</v>
      </c>
      <c r="I24" s="14">
        <f t="shared" si="2"/>
        <v>0</v>
      </c>
      <c r="J24" s="14" t="str">
        <f>IF($B$7="Y","N",$B$10)</f>
        <v>N</v>
      </c>
      <c r="K24" s="14" t="s">
        <v>3</v>
      </c>
      <c r="L24" s="14" t="s">
        <v>3</v>
      </c>
      <c r="M24" s="14" t="s">
        <v>3</v>
      </c>
    </row>
    <row r="25" spans="1:13">
      <c r="A25" s="12" t="s">
        <v>49</v>
      </c>
      <c r="B25" s="1" t="s">
        <v>46</v>
      </c>
      <c r="C25" s="1" t="str">
        <f>DEC2HEX(HEX2DEC($B$4)-HEX2DEC(F27)-HEX2DEC(F26)-HEX2DEC(F18))</f>
        <v>DE000</v>
      </c>
      <c r="D25" s="1" t="str">
        <f t="shared" ref="D25:D27" si="6">DEC2HEX(HEX2DEC($B$3)+HEX2DEC(C25))</f>
        <v>80DE000</v>
      </c>
      <c r="E25" s="1" t="str">
        <f t="shared" ref="E25:E27" si="7">DEC2HEX(HEX2DEC(D25)+HEX2DEC(F25)-1)</f>
        <v>80FDFFF</v>
      </c>
      <c r="F25" s="12">
        <f>IF($B$13="Y",F18,0)</f>
        <v>20000</v>
      </c>
      <c r="G25" s="1">
        <f t="shared" ref="G25:G27" si="8">H25/1024</f>
        <v>128</v>
      </c>
      <c r="H25" s="13">
        <f t="shared" ref="H25:H27" si="9">HEX2DEC(F25)</f>
        <v>131072</v>
      </c>
      <c r="I25" s="14">
        <f t="shared" ref="I25:I27" si="10">H25/HEX2DEC($B$5)</f>
        <v>16</v>
      </c>
      <c r="J25" s="14" t="str">
        <f>$B$13</f>
        <v>Y</v>
      </c>
      <c r="K25" s="14" t="s">
        <v>3</v>
      </c>
      <c r="L25" s="14" t="s">
        <v>3</v>
      </c>
      <c r="M25" s="14" t="s">
        <v>3</v>
      </c>
    </row>
    <row r="26" spans="1:13">
      <c r="A26" s="12" t="s">
        <v>51</v>
      </c>
      <c r="B26" s="1" t="s">
        <v>46</v>
      </c>
      <c r="C26" s="1" t="str">
        <f>DEC2HEX(HEX2DEC($B$4)-HEX2DEC(F27)-HEX2DEC(F26))</f>
        <v>FE000</v>
      </c>
      <c r="D26" s="1" t="str">
        <f t="shared" ref="D26" si="11">DEC2HEX(HEX2DEC($B$3)+HEX2DEC(C26))</f>
        <v>80FE000</v>
      </c>
      <c r="E26" s="1" t="str">
        <f t="shared" ref="E26" si="12">DEC2HEX(HEX2DEC(D26)+HEX2DEC(F26)-1)</f>
        <v>80FFFFF</v>
      </c>
      <c r="F26" s="12">
        <f>IF($B$13="Y",$B$14,0)</f>
        <v>2000</v>
      </c>
      <c r="G26" s="1">
        <f t="shared" ref="G26" si="13">H26/1024</f>
        <v>8</v>
      </c>
      <c r="H26" s="13">
        <f t="shared" ref="H26" si="14">HEX2DEC(F26)</f>
        <v>8192</v>
      </c>
      <c r="I26" s="14">
        <f t="shared" ref="I26" si="15">H26/HEX2DEC($B$5)</f>
        <v>1</v>
      </c>
      <c r="J26" s="14" t="str">
        <f>$B$13</f>
        <v>Y</v>
      </c>
      <c r="K26" s="14" t="s">
        <v>3</v>
      </c>
      <c r="L26" s="14" t="s">
        <v>3</v>
      </c>
      <c r="M26" s="14" t="s">
        <v>3</v>
      </c>
    </row>
    <row r="27" spans="1:13">
      <c r="A27" s="12" t="s">
        <v>38</v>
      </c>
      <c r="B27" s="1" t="s">
        <v>39</v>
      </c>
      <c r="C27" s="1" t="str">
        <f>DEC2HEX(HEX2DEC($B$4)-HEX2DEC(F27))</f>
        <v>100000</v>
      </c>
      <c r="D27" s="1" t="str">
        <f t="shared" si="6"/>
        <v>8100000</v>
      </c>
      <c r="E27" s="1" t="str">
        <f t="shared" si="7"/>
        <v>80FFFFF</v>
      </c>
      <c r="F27" s="1">
        <f>$B$12</f>
        <v>0</v>
      </c>
      <c r="G27" s="1">
        <f t="shared" si="8"/>
        <v>0</v>
      </c>
      <c r="H27" s="13">
        <f t="shared" si="9"/>
        <v>0</v>
      </c>
      <c r="I27" s="14">
        <f t="shared" si="10"/>
        <v>0</v>
      </c>
      <c r="J27" s="14" t="str">
        <f>IF($B$12=0,"N","Y")</f>
        <v>N</v>
      </c>
      <c r="K27" s="14" t="s">
        <v>3</v>
      </c>
      <c r="L27" s="14" t="s">
        <v>3</v>
      </c>
      <c r="M27" s="14" t="s">
        <v>3</v>
      </c>
    </row>
    <row r="28" spans="1:13">
      <c r="A28" s="2" t="s">
        <v>29</v>
      </c>
      <c r="B28" s="2"/>
      <c r="C28" s="2"/>
      <c r="D28" s="2"/>
      <c r="E28" s="2"/>
      <c r="F28" s="27" t="str">
        <f>DEC2HEX(H28)</f>
        <v>100000</v>
      </c>
      <c r="G28" s="2">
        <f t="shared" si="0"/>
        <v>1024</v>
      </c>
      <c r="H28" s="28">
        <f>SUM(H18:H27)-H19</f>
        <v>1048576</v>
      </c>
      <c r="I28" s="5">
        <f>H28/HEX2DEC($B$5)</f>
        <v>128</v>
      </c>
      <c r="J28" s="5"/>
      <c r="K28" s="5"/>
      <c r="L28" s="5"/>
      <c r="M28" s="5"/>
    </row>
    <row r="29" spans="1:13">
      <c r="A29" s="29" t="s">
        <v>30</v>
      </c>
      <c r="B29" s="5" t="s">
        <v>31</v>
      </c>
      <c r="C29" s="5"/>
      <c r="D29" s="5"/>
      <c r="E29" s="5"/>
      <c r="F29" s="28">
        <f>$B$4</f>
        <v>100000</v>
      </c>
      <c r="G29" s="2">
        <f t="shared" si="0"/>
        <v>1024</v>
      </c>
      <c r="H29" s="28">
        <f>HEX2DEC(F29)</f>
        <v>1048576</v>
      </c>
      <c r="I29" s="5">
        <f t="shared" ref="I29:I30" si="16">H29/HEX2DEC($B$5)</f>
        <v>128</v>
      </c>
      <c r="J29" s="5"/>
      <c r="K29" s="5"/>
      <c r="L29" s="5"/>
      <c r="M29" s="5"/>
    </row>
    <row r="30" spans="1:13">
      <c r="A30" s="29" t="s">
        <v>32</v>
      </c>
      <c r="B30" s="5"/>
      <c r="C30" s="5"/>
      <c r="D30" s="5"/>
      <c r="E30" s="5"/>
      <c r="F30" s="28" t="str">
        <f>DEC2HEX(H30)</f>
        <v>0</v>
      </c>
      <c r="G30" s="2">
        <f t="shared" si="0"/>
        <v>0</v>
      </c>
      <c r="H30" s="28">
        <f>H29-H28</f>
        <v>0</v>
      </c>
      <c r="I30" s="5">
        <f t="shared" si="16"/>
        <v>0</v>
      </c>
      <c r="J30" s="5"/>
      <c r="K30" s="5"/>
      <c r="L30" s="5"/>
      <c r="M30" s="5"/>
    </row>
    <row r="33" spans="1:13" ht="15.75" thickBot="1">
      <c r="A33" t="s">
        <v>44</v>
      </c>
    </row>
    <row r="34" spans="1:13">
      <c r="A34" s="7" t="s">
        <v>10</v>
      </c>
      <c r="B34" s="8" t="s">
        <v>11</v>
      </c>
      <c r="C34" s="8" t="s">
        <v>12</v>
      </c>
      <c r="D34" s="8" t="s">
        <v>13</v>
      </c>
      <c r="E34" s="8" t="s">
        <v>14</v>
      </c>
      <c r="F34" s="8" t="s">
        <v>15</v>
      </c>
      <c r="G34" s="8" t="s">
        <v>16</v>
      </c>
      <c r="H34" s="8" t="s">
        <v>17</v>
      </c>
      <c r="I34" s="8" t="s">
        <v>18</v>
      </c>
      <c r="J34" s="8" t="s">
        <v>42</v>
      </c>
      <c r="K34" s="9" t="s">
        <v>19</v>
      </c>
      <c r="L34" s="9" t="s">
        <v>20</v>
      </c>
      <c r="M34" s="10" t="s">
        <v>21</v>
      </c>
    </row>
    <row r="35" spans="1:13">
      <c r="A35" s="11" t="s">
        <v>22</v>
      </c>
      <c r="B35" s="1" t="s">
        <v>23</v>
      </c>
      <c r="C35" s="1">
        <v>0</v>
      </c>
      <c r="D35" s="1" t="str">
        <f>DEC2HEX(HEX2DEC($B$3)+HEX2DEC(C35))</f>
        <v>8000000</v>
      </c>
      <c r="E35" s="1" t="str">
        <f>DEC2HEX(HEX2DEC(D35)+IF(($B$8="Y"),HEX2DEC(F35)-HEX2DEC(F36),HEX2DEC(F35))-1)</f>
        <v>800FFFF</v>
      </c>
      <c r="F35" s="12">
        <v>20000</v>
      </c>
      <c r="G35" s="1">
        <f t="shared" ref="G35:G46" si="17">H35/1024</f>
        <v>128</v>
      </c>
      <c r="H35" s="13">
        <f t="shared" ref="H35:H43" si="18">HEX2DEC(F35)</f>
        <v>131072</v>
      </c>
      <c r="I35" s="14">
        <f t="shared" ref="I35:I43" si="19">H35/HEX2DEC($B$5)</f>
        <v>16</v>
      </c>
      <c r="J35" s="14" t="s">
        <v>4</v>
      </c>
      <c r="K35" s="14" t="s">
        <v>4</v>
      </c>
      <c r="L35" s="14" t="s">
        <v>4</v>
      </c>
      <c r="M35" s="15" t="s">
        <v>4</v>
      </c>
    </row>
    <row r="36" spans="1:13">
      <c r="A36" s="11" t="s">
        <v>5</v>
      </c>
      <c r="B36" s="1" t="s">
        <v>5</v>
      </c>
      <c r="C36" s="1" t="str">
        <f>DEC2HEX(HEX2DEC(C35)+HEX2DEC(F35)-HEX2DEC(F36))</f>
        <v>10000</v>
      </c>
      <c r="D36" s="1" t="str">
        <f>DEC2HEX(HEX2DEC($B$3)+HEX2DEC(C36))</f>
        <v>8010000</v>
      </c>
      <c r="E36" s="1" t="str">
        <f>DEC2HEX(HEX2DEC(D36)+HEX2DEC(F36)-1)</f>
        <v>801FFFF</v>
      </c>
      <c r="F36" s="12">
        <f>$B$9</f>
        <v>10000</v>
      </c>
      <c r="G36" s="1">
        <f t="shared" si="17"/>
        <v>64</v>
      </c>
      <c r="H36" s="13">
        <f t="shared" si="18"/>
        <v>65536</v>
      </c>
      <c r="I36" s="14">
        <f t="shared" si="19"/>
        <v>8</v>
      </c>
      <c r="J36" s="14" t="str">
        <f>$B$8</f>
        <v>Y</v>
      </c>
      <c r="K36" s="14" t="s">
        <v>4</v>
      </c>
      <c r="L36" s="14" t="s">
        <v>3</v>
      </c>
      <c r="M36" s="15" t="s">
        <v>4</v>
      </c>
    </row>
    <row r="37" spans="1:13">
      <c r="A37" s="11" t="s">
        <v>41</v>
      </c>
      <c r="B37" s="1" t="s">
        <v>24</v>
      </c>
      <c r="C37" s="1" t="str">
        <f>DEC2HEX(HEX2DEC(C36)+HEX2DEC(F36))</f>
        <v>20000</v>
      </c>
      <c r="D37" s="1" t="str">
        <f>DEC2HEX(HEX2DEC($B$3)+HEX2DEC(C37))</f>
        <v>8020000</v>
      </c>
      <c r="E37" s="1" t="str">
        <f>DEC2HEX(HEX2DEC(D37)+HEX2DEC(F37)-1)</f>
        <v>801FFFF</v>
      </c>
      <c r="F37" s="1">
        <f>IF(($B$6="N"),IF($B$7="N",10000,0),0)</f>
        <v>0</v>
      </c>
      <c r="G37" s="1">
        <f t="shared" si="17"/>
        <v>0</v>
      </c>
      <c r="H37" s="13">
        <f t="shared" si="18"/>
        <v>0</v>
      </c>
      <c r="I37" s="14">
        <f t="shared" si="19"/>
        <v>0</v>
      </c>
      <c r="J37" s="14" t="str">
        <f>IF($B$7="Y","N","Y")</f>
        <v>N</v>
      </c>
      <c r="K37" s="14" t="s">
        <v>3</v>
      </c>
      <c r="L37" s="14" t="s">
        <v>3</v>
      </c>
      <c r="M37" s="15" t="s">
        <v>4</v>
      </c>
    </row>
    <row r="38" spans="1:13">
      <c r="A38" s="11" t="s">
        <v>25</v>
      </c>
      <c r="B38" s="1">
        <v>4</v>
      </c>
      <c r="C38" s="1" t="str">
        <f>DEC2HEX(HEX2DEC(C37)+HEX2DEC(F37))</f>
        <v>20000</v>
      </c>
      <c r="D38" s="1" t="str">
        <f t="shared" ref="D38:D43" si="20">DEC2HEX(HEX2DEC($B$3)+HEX2DEC(C38))</f>
        <v>8020000</v>
      </c>
      <c r="E38" s="1" t="str">
        <f t="shared" ref="E38:E43" si="21">DEC2HEX(HEX2DEC(D38)+HEX2DEC(F38)-1)</f>
        <v>801FFFF</v>
      </c>
      <c r="F38" s="1">
        <f>$B$11</f>
        <v>0</v>
      </c>
      <c r="G38" s="1">
        <f t="shared" si="17"/>
        <v>0</v>
      </c>
      <c r="H38" s="13">
        <f t="shared" si="18"/>
        <v>0</v>
      </c>
      <c r="I38" s="14">
        <f t="shared" si="19"/>
        <v>0</v>
      </c>
      <c r="J38" s="14" t="str">
        <f>$B$10</f>
        <v>N</v>
      </c>
      <c r="K38" s="14" t="s">
        <v>3</v>
      </c>
      <c r="L38" s="14" t="s">
        <v>3</v>
      </c>
      <c r="M38" s="15" t="s">
        <v>4</v>
      </c>
    </row>
    <row r="39" spans="1:13" ht="15.75" thickBot="1">
      <c r="A39" s="16" t="s">
        <v>26</v>
      </c>
      <c r="B39" s="17">
        <v>0</v>
      </c>
      <c r="C39" s="17" t="str">
        <f t="shared" ref="C39:C42" si="22">DEC2HEX(HEX2DEC(C38)+HEX2DEC(F38))</f>
        <v>20000</v>
      </c>
      <c r="D39" s="17" t="str">
        <f t="shared" si="20"/>
        <v>8020000</v>
      </c>
      <c r="E39" s="17" t="str">
        <f t="shared" si="21"/>
        <v>8035FFF</v>
      </c>
      <c r="F39" s="30">
        <v>16000</v>
      </c>
      <c r="G39" s="17">
        <f t="shared" si="17"/>
        <v>88</v>
      </c>
      <c r="H39" s="19">
        <f t="shared" si="18"/>
        <v>90112</v>
      </c>
      <c r="I39" s="20">
        <f t="shared" si="19"/>
        <v>11</v>
      </c>
      <c r="J39" s="20" t="s">
        <v>4</v>
      </c>
      <c r="K39" s="20" t="s">
        <v>3</v>
      </c>
      <c r="L39" s="20" t="s">
        <v>3</v>
      </c>
      <c r="M39" s="21" t="s">
        <v>4</v>
      </c>
    </row>
    <row r="40" spans="1:13">
      <c r="A40" s="22" t="s">
        <v>27</v>
      </c>
      <c r="B40" s="23">
        <v>2</v>
      </c>
      <c r="C40" s="23" t="str">
        <f t="shared" si="22"/>
        <v>36000</v>
      </c>
      <c r="D40" s="23" t="str">
        <f t="shared" si="20"/>
        <v>8036000</v>
      </c>
      <c r="E40" s="23" t="str">
        <f t="shared" si="21"/>
        <v>8035FFF</v>
      </c>
      <c r="F40" s="31">
        <f>IF($B$6="N",F39,0)</f>
        <v>0</v>
      </c>
      <c r="G40" s="23">
        <f t="shared" si="17"/>
        <v>0</v>
      </c>
      <c r="H40" s="25">
        <f t="shared" si="18"/>
        <v>0</v>
      </c>
      <c r="I40" s="26">
        <f t="shared" si="19"/>
        <v>0</v>
      </c>
      <c r="J40" s="14" t="str">
        <f>IF($B$7="Y","N","Y")</f>
        <v>N</v>
      </c>
      <c r="K40" s="26" t="s">
        <v>3</v>
      </c>
      <c r="L40" s="26" t="s">
        <v>3</v>
      </c>
      <c r="M40" s="26" t="s">
        <v>3</v>
      </c>
    </row>
    <row r="41" spans="1:13">
      <c r="A41" s="12" t="s">
        <v>28</v>
      </c>
      <c r="B41" s="1">
        <v>6</v>
      </c>
      <c r="C41" s="1" t="str">
        <f t="shared" si="22"/>
        <v>36000</v>
      </c>
      <c r="D41" s="1" t="str">
        <f t="shared" si="20"/>
        <v>8036000</v>
      </c>
      <c r="E41" s="1" t="str">
        <f t="shared" si="21"/>
        <v>8035FFF</v>
      </c>
      <c r="F41" s="1">
        <f>IF($B$10="Y",F38,0)</f>
        <v>0</v>
      </c>
      <c r="G41" s="1">
        <f t="shared" si="17"/>
        <v>0</v>
      </c>
      <c r="H41" s="13">
        <f t="shared" si="18"/>
        <v>0</v>
      </c>
      <c r="I41" s="14">
        <f t="shared" si="19"/>
        <v>0</v>
      </c>
      <c r="J41" s="14" t="str">
        <f>IF($B$7="Y","N",$B$10)</f>
        <v>N</v>
      </c>
      <c r="K41" s="14" t="s">
        <v>3</v>
      </c>
      <c r="L41" s="14" t="s">
        <v>3</v>
      </c>
      <c r="M41" s="14" t="s">
        <v>3</v>
      </c>
    </row>
    <row r="42" spans="1:13">
      <c r="A42" s="32" t="s">
        <v>45</v>
      </c>
      <c r="B42" s="33" t="s">
        <v>46</v>
      </c>
      <c r="C42" s="33" t="str">
        <f t="shared" si="22"/>
        <v>36000</v>
      </c>
      <c r="D42" s="33" t="str">
        <f t="shared" si="20"/>
        <v>8036000</v>
      </c>
      <c r="E42" s="33" t="str">
        <f t="shared" si="21"/>
        <v>80FFFFF</v>
      </c>
      <c r="F42" s="33" t="str">
        <f>DEC2HEX(HEX2DEC(C43)-HEX2DEC(C42))</f>
        <v>CA000</v>
      </c>
      <c r="G42" s="33">
        <f t="shared" ref="G42" si="23">H42/1024</f>
        <v>808</v>
      </c>
      <c r="H42" s="34">
        <f t="shared" ref="H42" si="24">HEX2DEC(F42)</f>
        <v>827392</v>
      </c>
      <c r="I42" s="35">
        <f t="shared" ref="I42" si="25">H42/HEX2DEC($B$5)</f>
        <v>101</v>
      </c>
      <c r="J42" s="35"/>
      <c r="K42" s="35"/>
      <c r="L42" s="35"/>
      <c r="M42" s="35"/>
    </row>
    <row r="43" spans="1:13">
      <c r="A43" s="12" t="s">
        <v>38</v>
      </c>
      <c r="B43" s="1" t="s">
        <v>39</v>
      </c>
      <c r="C43" s="1" t="str">
        <f>DEC2HEX(HEX2DEC($B$4)-HEX2DEC(F43))</f>
        <v>100000</v>
      </c>
      <c r="D43" s="1" t="str">
        <f t="shared" si="20"/>
        <v>8100000</v>
      </c>
      <c r="E43" s="1" t="str">
        <f t="shared" si="21"/>
        <v>80FFFFF</v>
      </c>
      <c r="F43" s="1">
        <f>$B$12</f>
        <v>0</v>
      </c>
      <c r="G43" s="1">
        <f t="shared" si="17"/>
        <v>0</v>
      </c>
      <c r="H43" s="13">
        <f t="shared" si="18"/>
        <v>0</v>
      </c>
      <c r="I43" s="14">
        <f t="shared" si="19"/>
        <v>0</v>
      </c>
      <c r="J43" s="14" t="str">
        <f>IF($B$12=0,"N","Y")</f>
        <v>N</v>
      </c>
      <c r="K43" s="14" t="s">
        <v>3</v>
      </c>
      <c r="L43" s="14" t="s">
        <v>3</v>
      </c>
      <c r="M43" s="14" t="s">
        <v>3</v>
      </c>
    </row>
    <row r="44" spans="1:13">
      <c r="A44" s="2" t="s">
        <v>29</v>
      </c>
      <c r="B44" s="2"/>
      <c r="C44" s="2"/>
      <c r="D44" s="2"/>
      <c r="E44" s="2"/>
      <c r="F44" s="27" t="str">
        <f>DEC2HEX(H44)</f>
        <v>100000</v>
      </c>
      <c r="G44" s="2">
        <f t="shared" si="17"/>
        <v>1024</v>
      </c>
      <c r="H44" s="28">
        <f>SUM(H35:H43)-H36</f>
        <v>1048576</v>
      </c>
      <c r="I44" s="5">
        <f>H44/HEX2DEC($B$5)</f>
        <v>128</v>
      </c>
      <c r="J44" s="5"/>
      <c r="K44" s="5"/>
      <c r="L44" s="5"/>
      <c r="M44" s="5"/>
    </row>
    <row r="45" spans="1:13">
      <c r="A45" s="29" t="s">
        <v>30</v>
      </c>
      <c r="B45" s="5" t="s">
        <v>31</v>
      </c>
      <c r="C45" s="5"/>
      <c r="D45" s="5"/>
      <c r="E45" s="5"/>
      <c r="F45" s="28">
        <f>$B$4</f>
        <v>100000</v>
      </c>
      <c r="G45" s="2">
        <f t="shared" si="17"/>
        <v>1024</v>
      </c>
      <c r="H45" s="28">
        <f>HEX2DEC(F45)</f>
        <v>1048576</v>
      </c>
      <c r="I45" s="5">
        <f t="shared" ref="I45:I46" si="26">H45/HEX2DEC($B$5)</f>
        <v>128</v>
      </c>
      <c r="J45" s="5"/>
      <c r="K45" s="5"/>
      <c r="L45" s="5"/>
      <c r="M45" s="5"/>
    </row>
    <row r="46" spans="1:13">
      <c r="A46" s="29" t="s">
        <v>32</v>
      </c>
      <c r="B46" s="5"/>
      <c r="C46" s="5"/>
      <c r="D46" s="5"/>
      <c r="E46" s="5"/>
      <c r="F46" s="28" t="str">
        <f>DEC2HEX(H46)</f>
        <v>0</v>
      </c>
      <c r="G46" s="2">
        <f t="shared" si="17"/>
        <v>0</v>
      </c>
      <c r="H46" s="28">
        <f>H45-H44</f>
        <v>0</v>
      </c>
      <c r="I46" s="5">
        <f t="shared" si="26"/>
        <v>0</v>
      </c>
      <c r="J46" s="5"/>
      <c r="K46" s="5"/>
      <c r="L46" s="5"/>
      <c r="M46" s="5"/>
    </row>
  </sheetData>
  <conditionalFormatting sqref="B6:B8 B10">
    <cfRule type="cellIs" dxfId="9" priority="27" operator="equal">
      <formula>"Y"</formula>
    </cfRule>
    <cfRule type="cellIs" dxfId="8" priority="28" operator="equal">
      <formula>"N"</formula>
    </cfRule>
  </conditionalFormatting>
  <conditionalFormatting sqref="J34:J43">
    <cfRule type="cellIs" dxfId="7" priority="3" operator="equal">
      <formula>"Y"</formula>
    </cfRule>
    <cfRule type="cellIs" dxfId="6" priority="4" operator="equal">
      <formula>"N"</formula>
    </cfRule>
  </conditionalFormatting>
  <conditionalFormatting sqref="J18:M27">
    <cfRule type="cellIs" dxfId="5" priority="17" operator="equal">
      <formula>"Y"</formula>
    </cfRule>
    <cfRule type="cellIs" dxfId="4" priority="18" operator="equal">
      <formula>"N"</formula>
    </cfRule>
  </conditionalFormatting>
  <conditionalFormatting sqref="K35:M43">
    <cfRule type="cellIs" dxfId="3" priority="15" operator="equal">
      <formula>"N"</formula>
    </cfRule>
    <cfRule type="cellIs" dxfId="2" priority="16" operator="equal">
      <formula>"Y"</formula>
    </cfRule>
  </conditionalFormatting>
  <conditionalFormatting sqref="B13">
    <cfRule type="cellIs" dxfId="1" priority="1" operator="equal">
      <formula>"Y"</formula>
    </cfRule>
    <cfRule type="cellIs" dxfId="0" priority="2" operator="equal">
      <formula>"N"</formula>
    </cfRule>
  </conditionalFormatting>
  <dataValidations count="4">
    <dataValidation type="decimal" operator="lessThanOrEqual" allowBlank="1" showInputMessage="1" showErrorMessage="1" errorTitle="Error" error="Total size consumed cannot exceed total user flash size!" sqref="H28 H44" xr:uid="{1A086C2B-0E4F-4241-80B5-5A1318638A48}">
      <formula1>H29</formula1>
    </dataValidation>
    <dataValidation type="list" allowBlank="1" showInputMessage="1" showErrorMessage="1" sqref="B10 B6:B8 B13 K35:M43 K18:M27" xr:uid="{1B61E276-0A20-47FF-BFB8-75ABA9EC3C08}">
      <formula1>$B$1:$B$2</formula1>
    </dataValidation>
    <dataValidation type="list" allowBlank="1" showDropDown="1" showInputMessage="1" showErrorMessage="1" sqref="J18:J19 J35:J36" xr:uid="{55B1DDF0-6712-4B91-9618-826138437A1B}">
      <formula1>$B$1:$B$2</formula1>
    </dataValidation>
    <dataValidation type="whole" operator="lessThanOrEqual" allowBlank="1" showInputMessage="1" showErrorMessage="1" sqref="F28 F44" xr:uid="{6EDCA1F8-9121-4096-AEAC-01BAB2B81477}">
      <formula1>F29</formula1>
    </dataValidation>
  </dataValidations>
  <pageMargins left="0.7" right="0.7" top="0.75" bottom="0.75" header="0.3" footer="0.3"/>
  <legacyDrawing r:id="rId1"/>
</worksheet>
</file>

<file path=docMetadata/LabelInfo.xml><?xml version="1.0" encoding="utf-8"?>
<clbl:labelList xmlns:clbl="http://schemas.microsoft.com/office/2020/mipLabelMetadata">
  <clbl:label id="{cf8c7287-838c-46dd-b281-b1140229e67a}" enabled="1" method="Privileged" siteId="{75e027c9-20d5-47d5-b82f-77d7cd041e8f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OEMiROT+FullSec App Layout (2)</vt:lpstr>
      <vt:lpstr>STiROT+OEMuROT+FullSec 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建瓯 乔</dc:creator>
  <cp:lastModifiedBy>Sunny CHEN</cp:lastModifiedBy>
  <dcterms:created xsi:type="dcterms:W3CDTF">2025-03-08T02:31:46Z</dcterms:created>
  <dcterms:modified xsi:type="dcterms:W3CDTF">2026-08-26T07:57:30Z</dcterms:modified>
</cp:coreProperties>
</file>