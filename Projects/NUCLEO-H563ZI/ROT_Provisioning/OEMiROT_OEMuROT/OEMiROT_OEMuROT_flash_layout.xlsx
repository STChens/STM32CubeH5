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T\Cube\Cube1\STM32CubeH5\Projects\NUCLEO-H563ZI\ROT_Provisioning\OEMiROT_OEMuROT\"/>
    </mc:Choice>
  </mc:AlternateContent>
  <xr:revisionPtr revIDLastSave="0" documentId="13_ncr:1_{685360A6-D1AB-41FA-8518-E1D6A05E02AD}" xr6:coauthVersionLast="47" xr6:coauthVersionMax="47" xr10:uidLastSave="{00000000-0000-0000-0000-000000000000}"/>
  <bookViews>
    <workbookView xWindow="-165" yWindow="-165" windowWidth="29130" windowHeight="15810" tabRatio="594" xr2:uid="{973ADE99-8809-4282-875C-44A8EA15E93C}"/>
  </bookViews>
  <sheets>
    <sheet name="OEMiROT+OEMuROT Flash Layout" sheetId="1" r:id="rId1"/>
    <sheet name="Test cases" sheetId="3" r:id="rId2"/>
  </sheets>
  <definedNames>
    <definedName name="_xlnm._FilterDatabase" localSheetId="1" hidden="1">'Test cases'!$A$10:$O$35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1" l="1"/>
  <c r="H21" i="1" s="1"/>
  <c r="I21" i="1" s="1"/>
  <c r="C34" i="1"/>
  <c r="D32" i="1"/>
  <c r="H32" i="1"/>
  <c r="G32" i="1" s="1"/>
  <c r="H35" i="1"/>
  <c r="G35" i="1" s="1"/>
  <c r="F36" i="1"/>
  <c r="H36" i="1" s="1"/>
  <c r="F34" i="1"/>
  <c r="H34" i="1" s="1"/>
  <c r="F38" i="1"/>
  <c r="H38" i="1" s="1"/>
  <c r="G38" i="1" s="1"/>
  <c r="F40" i="1"/>
  <c r="H40" i="1" s="1"/>
  <c r="F42" i="1"/>
  <c r="H42" i="1" s="1"/>
  <c r="C18" i="1"/>
  <c r="B11" i="1"/>
  <c r="F33" i="1" s="1"/>
  <c r="F27" i="1"/>
  <c r="H27" i="1" s="1"/>
  <c r="G27" i="1" s="1"/>
  <c r="B13" i="1"/>
  <c r="F22" i="1" s="1"/>
  <c r="F25" i="1" s="1"/>
  <c r="H16" i="1"/>
  <c r="I16" i="1" s="1"/>
  <c r="F18" i="1"/>
  <c r="H18" i="1" s="1"/>
  <c r="I18" i="1" s="1"/>
  <c r="D16" i="1"/>
  <c r="C35" i="1" l="1"/>
  <c r="C36" i="1" s="1"/>
  <c r="D36" i="1" s="1"/>
  <c r="E36" i="1" s="1"/>
  <c r="C19" i="1"/>
  <c r="C20" i="1" s="1"/>
  <c r="D20" i="1" s="1"/>
  <c r="I35" i="1"/>
  <c r="G21" i="1"/>
  <c r="F39" i="1"/>
  <c r="H39" i="1" s="1"/>
  <c r="G39" i="1" s="1"/>
  <c r="G36" i="1"/>
  <c r="I36" i="1"/>
  <c r="H33" i="1"/>
  <c r="C33" i="1"/>
  <c r="D33" i="1" s="1"/>
  <c r="E33" i="1" s="1"/>
  <c r="I42" i="1"/>
  <c r="G42" i="1"/>
  <c r="I40" i="1"/>
  <c r="G40" i="1"/>
  <c r="G34" i="1"/>
  <c r="I34" i="1"/>
  <c r="E32" i="1"/>
  <c r="I38" i="1"/>
  <c r="I32" i="1"/>
  <c r="F37" i="1"/>
  <c r="H37" i="1" s="1"/>
  <c r="F17" i="1"/>
  <c r="F20" i="1"/>
  <c r="H19" i="1"/>
  <c r="G18" i="1"/>
  <c r="G16" i="1"/>
  <c r="I27" i="1"/>
  <c r="H22" i="1"/>
  <c r="C37" i="1" l="1"/>
  <c r="D35" i="1"/>
  <c r="E35" i="1" s="1"/>
  <c r="C21" i="1"/>
  <c r="C22" i="1" s="1"/>
  <c r="F23" i="1"/>
  <c r="I39" i="1"/>
  <c r="C38" i="1"/>
  <c r="D37" i="1"/>
  <c r="G37" i="1"/>
  <c r="I37" i="1"/>
  <c r="C17" i="1"/>
  <c r="D17" i="1" s="1"/>
  <c r="E17" i="1" s="1"/>
  <c r="H17" i="1"/>
  <c r="G17" i="1" s="1"/>
  <c r="E16" i="1"/>
  <c r="D34" i="1"/>
  <c r="E34" i="1" s="1"/>
  <c r="G33" i="1"/>
  <c r="I33" i="1"/>
  <c r="H41" i="1"/>
  <c r="D19" i="1"/>
  <c r="E19" i="1" s="1"/>
  <c r="H20" i="1"/>
  <c r="G19" i="1"/>
  <c r="I19" i="1"/>
  <c r="I22" i="1"/>
  <c r="G22" i="1"/>
  <c r="H25" i="1"/>
  <c r="D21" i="1" l="1"/>
  <c r="E21" i="1" s="1"/>
  <c r="D22" i="1"/>
  <c r="C23" i="1"/>
  <c r="F24" i="1"/>
  <c r="H24" i="1" s="1"/>
  <c r="G24" i="1" s="1"/>
  <c r="I17" i="1"/>
  <c r="D38" i="1"/>
  <c r="C39" i="1"/>
  <c r="E37" i="1"/>
  <c r="F41" i="1"/>
  <c r="G41" i="1"/>
  <c r="I41" i="1"/>
  <c r="H43" i="1"/>
  <c r="E20" i="1"/>
  <c r="D18" i="1"/>
  <c r="E18" i="1" s="1"/>
  <c r="G20" i="1"/>
  <c r="I20" i="1"/>
  <c r="I25" i="1"/>
  <c r="G25" i="1"/>
  <c r="H23" i="1"/>
  <c r="H26" i="1" l="1"/>
  <c r="G26" i="1" s="1"/>
  <c r="C24" i="1"/>
  <c r="D23" i="1"/>
  <c r="I24" i="1"/>
  <c r="C40" i="1"/>
  <c r="D40" i="1" s="1"/>
  <c r="D39" i="1"/>
  <c r="F43" i="1"/>
  <c r="G43" i="1"/>
  <c r="I43" i="1"/>
  <c r="E38" i="1"/>
  <c r="I23" i="1"/>
  <c r="G23" i="1"/>
  <c r="D24" i="1" l="1"/>
  <c r="C25" i="1"/>
  <c r="D25" i="1" s="1"/>
  <c r="E40" i="1"/>
  <c r="E39" i="1"/>
  <c r="E22" i="1"/>
  <c r="F26" i="1"/>
  <c r="I26" i="1"/>
  <c r="H28" i="1"/>
  <c r="G28" i="1" s="1"/>
  <c r="E25" i="1" l="1"/>
  <c r="E23" i="1"/>
  <c r="I28" i="1"/>
  <c r="F28" i="1"/>
  <c r="E24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tc={E2B6AAF7-D7F2-41B2-BC0F-44162A34E3C2}</author>
    <author>tc={C782EF7C-234D-4A58-A172-7955C6803B86}</author>
  </authors>
  <commentList>
    <comment ref="B11" authorId="0" shapeId="0" xr:uid="{E2B6AAF7-D7F2-41B2-BC0F-44162A34E3C2}">
      <text>
        <t>[Threaded comment]
Your version of Excel allows you to read this threaded comment; however, any edits to it will get removed if the file is opened in a newer version of Excel. Learn more: https://go.microsoft.com/fwlink/?linkid=870924
Comment:
    Must be multiple of size of 4 pages because write protection is in unit of 4 pages</t>
      </text>
    </comment>
    <comment ref="B13" authorId="1" shapeId="0" xr:uid="{C782EF7C-234D-4A58-A172-7955C6803B86}">
      <text>
        <t>[Threaded comment]
Your version of Excel allows you to read this threaded comment; however, any edits to it will get removed if the file is opened in a newer version of Excel. Learn more: https://go.microsoft.com/fwlink/?linkid=870924
Comment:
    Must be multiple of page size</t>
      </text>
    </comment>
  </commentList>
</comments>
</file>

<file path=xl/sharedStrings.xml><?xml version="1.0" encoding="utf-8"?>
<sst xmlns="http://schemas.openxmlformats.org/spreadsheetml/2006/main" count="361" uniqueCount="79">
  <si>
    <t>offset</t>
  </si>
  <si>
    <t>start</t>
  </si>
  <si>
    <t>BL2</t>
  </si>
  <si>
    <t>AREA ID</t>
  </si>
  <si>
    <t>FLASH_BASE</t>
  </si>
  <si>
    <t>N</t>
  </si>
  <si>
    <t>SCRATCH</t>
  </si>
  <si>
    <t>SCRTACH</t>
  </si>
  <si>
    <t>LOADER</t>
  </si>
  <si>
    <t>Y</t>
  </si>
  <si>
    <t>Data Active</t>
  </si>
  <si>
    <t>Data Download</t>
  </si>
  <si>
    <t>Total size</t>
  </si>
  <si>
    <t>FLASH_SIZE</t>
  </si>
  <si>
    <t>DATA IMAGE SIZE</t>
  </si>
  <si>
    <t>FLASH PAGE SIZE</t>
  </si>
  <si>
    <t>LOADER SIZE</t>
  </si>
  <si>
    <t xml:space="preserve"> </t>
  </si>
  <si>
    <t>Total size Max</t>
  </si>
  <si>
    <t>size (B hex)</t>
  </si>
  <si>
    <t>size (B dec)</t>
  </si>
  <si>
    <t>Remaining free size</t>
  </si>
  <si>
    <t>size (KB)</t>
  </si>
  <si>
    <t>Area purpose</t>
  </si>
  <si>
    <t>WRP</t>
  </si>
  <si>
    <t>HDP</t>
  </si>
  <si>
    <t>Nb pages</t>
  </si>
  <si>
    <t>end</t>
  </si>
  <si>
    <t>DATA IMAGE SLOT</t>
  </si>
  <si>
    <t>UART Ymodem loader as example</t>
  </si>
  <si>
    <t>Must be multiple of page size (2000)</t>
  </si>
  <si>
    <t>App Active (Max)</t>
  </si>
  <si>
    <t>App Download (Max)</t>
  </si>
  <si>
    <t>OEMiROT</t>
  </si>
  <si>
    <t>OEMUROT (active)</t>
  </si>
  <si>
    <t>OEMUROT (Download)</t>
  </si>
  <si>
    <t>App not in max size</t>
  </si>
  <si>
    <t>SCRATCH (oemirot)</t>
  </si>
  <si>
    <t>SCRATCH (oemurot)</t>
  </si>
  <si>
    <t>PRIMARY_ONLY (i)</t>
  </si>
  <si>
    <t>OVERWRITE_ONLY (i)</t>
  </si>
  <si>
    <t>Must be used if PRIMARY ONLY (i) is Y</t>
  </si>
  <si>
    <t>Must be used if PRIMARY ONLY (u) is Y</t>
  </si>
  <si>
    <t>PRIMARY_ONLY (u)</t>
  </si>
  <si>
    <t>OVERWRITE_ONLY (u)</t>
  </si>
  <si>
    <t>Test case</t>
  </si>
  <si>
    <t>IDE</t>
  </si>
  <si>
    <t>D</t>
  </si>
  <si>
    <t>IAR</t>
  </si>
  <si>
    <t>OK</t>
  </si>
  <si>
    <t>ND</t>
  </si>
  <si>
    <t>KEIL</t>
  </si>
  <si>
    <t>NOK</t>
  </si>
  <si>
    <t>CubeIDE</t>
  </si>
  <si>
    <t>NA</t>
  </si>
  <si>
    <t>NT</t>
  </si>
  <si>
    <t>Pre-step for each test cases:</t>
  </si>
  <si>
    <t>Delete built materials of Boot, Loader, App in Binary folder</t>
  </si>
  <si>
    <t>Delete signed Data images in Provisioning Binary folder</t>
  </si>
  <si>
    <t>Clean projects in IDE</t>
  </si>
  <si>
    <t>EXT_LOADER</t>
  </si>
  <si>
    <t>Provisioning</t>
  </si>
  <si>
    <t>App-&gt;Loader</t>
  </si>
  <si>
    <t>App Update</t>
  </si>
  <si>
    <t>Data Update</t>
  </si>
  <si>
    <t>App confirm</t>
  </si>
  <si>
    <t>Data confirm</t>
  </si>
  <si>
    <t>iROT-&gt;uROT-&gt;App</t>
  </si>
  <si>
    <t>iROT-&gt;Loader</t>
  </si>
  <si>
    <t>uROT-&gt;Loader</t>
  </si>
  <si>
    <t>uROT Update</t>
  </si>
  <si>
    <t>iROT OVERWRITE_ONLY</t>
  </si>
  <si>
    <t>uROT OVERWRITE_ONLY</t>
  </si>
  <si>
    <t>uROT Confirm</t>
  </si>
  <si>
    <t>App DATA IMG</t>
  </si>
  <si>
    <t>Boot</t>
  </si>
  <si>
    <t>Loader</t>
  </si>
  <si>
    <t>Update</t>
  </si>
  <si>
    <t>Self validate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</si>
</sst>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right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 tint="-0.14996795556505021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b/>
        <i val="0"/>
        <color theme="6"/>
      </font>
    </dxf>
    <dxf>
      <font>
        <b/>
        <i val="0"/>
        <color theme="6"/>
      </font>
    </dxf>
    <dxf>
      <font>
        <b/>
        <i val="0"/>
        <color rgb="FF00B0F0"/>
      </font>
    </dxf>
    <dxf>
      <font>
        <color theme="6"/>
      </font>
      <fill>
        <patternFill>
          <bgColor theme="6" tint="0.79998168889431442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rgb="FF0070C0"/>
      </font>
      <fill>
        <patternFill>
          <bgColor theme="3" tint="0.8999603259376811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unny CHEN" id="{2390A384-3AA0-4A70-A3FD-56E9548FD135}" userId="S::sunny.chen@st.com::a300bb7f-0dc8-4f82-8096-8f7ada5fd4f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1" dT="2026-02-02T06:26:47.24" personId="{2390A384-3AA0-4A70-A3FD-56E9548FD135}" id="{E2B6AAF7-D7F2-41B2-BC0F-44162A34E3C2}">
    <text>Must be multiple of size of 4 pages because write protection is in unit of 4 pages</text>
  </threadedComment>
  <threadedComment ref="B13" dT="2026-02-02T06:27:12.60" personId="{2390A384-3AA0-4A70-A3FD-56E9548FD135}" id="{C782EF7C-234D-4A58-A172-7955C6803B86}">
    <text>Must be multiple of page size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EE003-AB81-416D-8FF7-83C8B34AB91C}">
  <dimension ref="A1:L43"/>
  <sheetViews>
    <sheetView tabSelected="1" topLeftCell="A3" workbookViewId="0">
      <selection activeCell="Q20" sqref="Q20"/>
    </sheetView>
  </sheetViews>
  <sheetFormatPr defaultRowHeight="15" x14ac:dyDescent="0.25"/>
  <cols>
    <col min="1" max="1" width="21.42578125" bestFit="1" customWidth="1"/>
    <col min="6" max="6" width="11.28515625" bestFit="1" customWidth="1"/>
    <col min="7" max="7" width="8.7109375" bestFit="1" customWidth="1"/>
    <col min="8" max="8" width="11.28515625" bestFit="1" customWidth="1"/>
    <col min="9" max="9" width="9.28515625" bestFit="1" customWidth="1"/>
    <col min="10" max="10" width="5.28515625" bestFit="1" customWidth="1"/>
    <col min="11" max="11" width="5" bestFit="1" customWidth="1"/>
    <col min="12" max="12" width="5" customWidth="1"/>
    <col min="13" max="16" width="5.28515625" customWidth="1"/>
  </cols>
  <sheetData>
    <row r="1" spans="1:12" hidden="1" x14ac:dyDescent="0.25">
      <c r="B1" s="4" t="s">
        <v>9</v>
      </c>
    </row>
    <row r="2" spans="1:12" hidden="1" x14ac:dyDescent="0.25">
      <c r="B2" s="4" t="s">
        <v>5</v>
      </c>
    </row>
    <row r="3" spans="1:12" x14ac:dyDescent="0.25">
      <c r="A3" s="5" t="s">
        <v>4</v>
      </c>
      <c r="B3" s="6">
        <v>8000000</v>
      </c>
    </row>
    <row r="4" spans="1:12" x14ac:dyDescent="0.25">
      <c r="A4" s="5" t="s">
        <v>13</v>
      </c>
      <c r="B4" s="6">
        <v>200000</v>
      </c>
    </row>
    <row r="5" spans="1:12" x14ac:dyDescent="0.25">
      <c r="A5" s="5" t="s">
        <v>15</v>
      </c>
      <c r="B5" s="6">
        <v>2000</v>
      </c>
    </row>
    <row r="6" spans="1:12" x14ac:dyDescent="0.25">
      <c r="A6" t="s">
        <v>39</v>
      </c>
      <c r="B6" s="4" t="s">
        <v>5</v>
      </c>
    </row>
    <row r="7" spans="1:12" x14ac:dyDescent="0.25">
      <c r="A7" t="s">
        <v>40</v>
      </c>
      <c r="B7" s="4" t="s">
        <v>5</v>
      </c>
      <c r="C7" t="s">
        <v>41</v>
      </c>
    </row>
    <row r="8" spans="1:12" x14ac:dyDescent="0.25">
      <c r="A8" t="s">
        <v>43</v>
      </c>
      <c r="B8" s="4" t="s">
        <v>5</v>
      </c>
    </row>
    <row r="9" spans="1:12" x14ac:dyDescent="0.25">
      <c r="A9" t="s">
        <v>44</v>
      </c>
      <c r="B9" s="4" t="s">
        <v>5</v>
      </c>
      <c r="C9" t="s">
        <v>42</v>
      </c>
    </row>
    <row r="10" spans="1:12" x14ac:dyDescent="0.25">
      <c r="A10" t="s">
        <v>8</v>
      </c>
      <c r="B10" s="4" t="s">
        <v>9</v>
      </c>
      <c r="C10" t="s">
        <v>29</v>
      </c>
    </row>
    <row r="11" spans="1:12" x14ac:dyDescent="0.25">
      <c r="A11" t="s">
        <v>16</v>
      </c>
      <c r="B11" s="1">
        <f>IF(($B$10="Y"),6000,0)</f>
        <v>6000</v>
      </c>
    </row>
    <row r="12" spans="1:12" x14ac:dyDescent="0.25">
      <c r="A12" t="s">
        <v>28</v>
      </c>
      <c r="B12" s="4" t="s">
        <v>5</v>
      </c>
    </row>
    <row r="13" spans="1:12" x14ac:dyDescent="0.25">
      <c r="A13" t="s">
        <v>14</v>
      </c>
      <c r="B13" s="4">
        <f>IF(($B$12="Y"),$B$5,0)</f>
        <v>0</v>
      </c>
      <c r="C13" t="s">
        <v>30</v>
      </c>
    </row>
    <row r="14" spans="1:12" x14ac:dyDescent="0.25">
      <c r="B14" s="4"/>
    </row>
    <row r="15" spans="1:12" x14ac:dyDescent="0.25">
      <c r="A15" s="12" t="s">
        <v>23</v>
      </c>
      <c r="B15" s="7" t="s">
        <v>3</v>
      </c>
      <c r="C15" s="7" t="s">
        <v>0</v>
      </c>
      <c r="D15" s="7" t="s">
        <v>1</v>
      </c>
      <c r="E15" s="7" t="s">
        <v>27</v>
      </c>
      <c r="F15" s="7" t="s">
        <v>19</v>
      </c>
      <c r="G15" s="7" t="s">
        <v>22</v>
      </c>
      <c r="H15" s="7" t="s">
        <v>20</v>
      </c>
      <c r="I15" s="7" t="s">
        <v>26</v>
      </c>
      <c r="J15" s="12" t="s">
        <v>24</v>
      </c>
      <c r="K15" s="12" t="s">
        <v>25</v>
      </c>
      <c r="L15" s="6"/>
    </row>
    <row r="16" spans="1:12" x14ac:dyDescent="0.25">
      <c r="A16" s="8" t="s">
        <v>33</v>
      </c>
      <c r="B16" s="3" t="s">
        <v>2</v>
      </c>
      <c r="C16" s="3">
        <v>0</v>
      </c>
      <c r="D16" s="3" t="str">
        <f>DEC2HEX(HEX2DEC($B$3)+HEX2DEC(C16))</f>
        <v>8000000</v>
      </c>
      <c r="E16" s="3" t="str">
        <f>DEC2HEX(HEX2DEC(D16)+IF(($B$10="Y"),HEX2DEC(F16)-HEX2DEC(F17),HEX2DEC(F16))-1)</f>
        <v>8011FFF</v>
      </c>
      <c r="F16" s="8">
        <v>18000</v>
      </c>
      <c r="G16" s="3">
        <f>H16/1024</f>
        <v>96</v>
      </c>
      <c r="H16" s="2">
        <f>HEX2DEC(F16)</f>
        <v>98304</v>
      </c>
      <c r="I16" s="13">
        <f>H16/HEX2DEC($B$5)</f>
        <v>12</v>
      </c>
      <c r="J16" s="13" t="s">
        <v>9</v>
      </c>
      <c r="K16" s="13" t="s">
        <v>9</v>
      </c>
      <c r="L16" s="4"/>
    </row>
    <row r="17" spans="1:12" x14ac:dyDescent="0.25">
      <c r="A17" s="8" t="s">
        <v>8</v>
      </c>
      <c r="B17" s="3" t="s">
        <v>8</v>
      </c>
      <c r="C17" s="3" t="str">
        <f>DEC2HEX(HEX2DEC(C16)+HEX2DEC(F16)-HEX2DEC(F17))</f>
        <v>12000</v>
      </c>
      <c r="D17" s="3" t="str">
        <f>DEC2HEX(HEX2DEC($B$3)+HEX2DEC(C17))</f>
        <v>8012000</v>
      </c>
      <c r="E17" s="3" t="str">
        <f>DEC2HEX(HEX2DEC(D17)+HEX2DEC(F17)-1)</f>
        <v>8017FFF</v>
      </c>
      <c r="F17" s="8">
        <f>$B$11</f>
        <v>6000</v>
      </c>
      <c r="G17" s="3">
        <f>H17/1024</f>
        <v>24</v>
      </c>
      <c r="H17" s="2">
        <f>HEX2DEC(F17)</f>
        <v>24576</v>
      </c>
      <c r="I17" s="13">
        <f>H17/HEX2DEC($B$5)</f>
        <v>3</v>
      </c>
      <c r="J17" s="13" t="s">
        <v>9</v>
      </c>
      <c r="K17" s="13" t="s">
        <v>5</v>
      </c>
      <c r="L17" s="4"/>
    </row>
    <row r="18" spans="1:12" x14ac:dyDescent="0.25">
      <c r="A18" s="8" t="s">
        <v>37</v>
      </c>
      <c r="B18" s="3" t="s">
        <v>7</v>
      </c>
      <c r="C18" s="3" t="str">
        <f>DEC2HEX(HEX2DEC(C16)+HEX2DEC(F16))</f>
        <v>18000</v>
      </c>
      <c r="D18" s="3" t="str">
        <f>DEC2HEX(HEX2DEC($B$3)+HEX2DEC(C18))</f>
        <v>8018000</v>
      </c>
      <c r="E18" s="3" t="str">
        <f>DEC2HEX(HEX2DEC(D18)+HEX2DEC(F18)-1)</f>
        <v>8027FFF</v>
      </c>
      <c r="F18" s="3">
        <f>IF(($B$6="N"),IF($B$7="N",10000,0),0)</f>
        <v>10000</v>
      </c>
      <c r="G18" s="3">
        <f>H18/1024</f>
        <v>64</v>
      </c>
      <c r="H18" s="2">
        <f>HEX2DEC(F18)</f>
        <v>65536</v>
      </c>
      <c r="I18" s="13">
        <f>H18/HEX2DEC($B$5)</f>
        <v>8</v>
      </c>
      <c r="J18" s="13" t="s">
        <v>5</v>
      </c>
      <c r="K18" s="13" t="s">
        <v>5</v>
      </c>
      <c r="L18" s="4"/>
    </row>
    <row r="19" spans="1:12" x14ac:dyDescent="0.25">
      <c r="A19" s="8" t="s">
        <v>34</v>
      </c>
      <c r="B19" s="3">
        <v>0</v>
      </c>
      <c r="C19" s="3" t="str">
        <f>DEC2HEX(HEX2DEC(C18)+HEX2DEC(F18))</f>
        <v>28000</v>
      </c>
      <c r="D19" s="3" t="str">
        <f t="shared" ref="D19:D25" si="0">DEC2HEX(HEX2DEC($B$3)+HEX2DEC(C19))</f>
        <v>8028000</v>
      </c>
      <c r="E19" s="3" t="str">
        <f>DEC2HEX(HEX2DEC(D19)+HEX2DEC(F19)-1)</f>
        <v>803FFFF</v>
      </c>
      <c r="F19" s="8">
        <v>18000</v>
      </c>
      <c r="G19" s="3">
        <f>H19/1024</f>
        <v>96</v>
      </c>
      <c r="H19" s="2">
        <f>HEX2DEC(F19)</f>
        <v>98304</v>
      </c>
      <c r="I19" s="13">
        <f>H19/HEX2DEC($B$5)</f>
        <v>12</v>
      </c>
      <c r="J19" s="13" t="s">
        <v>5</v>
      </c>
      <c r="K19" s="13" t="s">
        <v>5</v>
      </c>
      <c r="L19" s="4"/>
    </row>
    <row r="20" spans="1:12" x14ac:dyDescent="0.25">
      <c r="A20" s="8" t="s">
        <v>35</v>
      </c>
      <c r="B20" s="3">
        <v>2</v>
      </c>
      <c r="C20" s="3" t="str">
        <f t="shared" ref="C20:C25" si="1">DEC2HEX(HEX2DEC(C19)+HEX2DEC(F19))</f>
        <v>40000</v>
      </c>
      <c r="D20" s="3" t="str">
        <f t="shared" si="0"/>
        <v>8040000</v>
      </c>
      <c r="E20" s="3" t="str">
        <f>DEC2HEX(HEX2DEC(D20)+HEX2DEC(F20)-1)</f>
        <v>8057FFF</v>
      </c>
      <c r="F20" s="8">
        <f>F19</f>
        <v>18000</v>
      </c>
      <c r="G20" s="3">
        <f>H20/1024</f>
        <v>96</v>
      </c>
      <c r="H20" s="2">
        <f>HEX2DEC(F20)</f>
        <v>98304</v>
      </c>
      <c r="I20" s="13">
        <f>H20/HEX2DEC($B$5)</f>
        <v>12</v>
      </c>
      <c r="J20" s="13" t="s">
        <v>5</v>
      </c>
      <c r="K20" s="13" t="s">
        <v>5</v>
      </c>
      <c r="L20" s="4"/>
    </row>
    <row r="21" spans="1:12" x14ac:dyDescent="0.25">
      <c r="A21" s="8" t="s">
        <v>38</v>
      </c>
      <c r="B21" s="3" t="s">
        <v>7</v>
      </c>
      <c r="C21" s="3" t="str">
        <f t="shared" si="1"/>
        <v>58000</v>
      </c>
      <c r="D21" s="3" t="str">
        <f t="shared" si="0"/>
        <v>8058000</v>
      </c>
      <c r="E21" s="3" t="str">
        <f>DEC2HEX(HEX2DEC(D21)+HEX2DEC(F21)-1)</f>
        <v>8067FFF</v>
      </c>
      <c r="F21" s="3">
        <f>IF(($B$8="N"),IF($B$9="N",10000,0),0)</f>
        <v>10000</v>
      </c>
      <c r="G21" s="3">
        <f>H21/1024</f>
        <v>64</v>
      </c>
      <c r="H21" s="2">
        <f>HEX2DEC(F21)</f>
        <v>65536</v>
      </c>
      <c r="I21" s="13">
        <f>H21/HEX2DEC($B$5)</f>
        <v>8</v>
      </c>
      <c r="J21" s="13" t="s">
        <v>5</v>
      </c>
      <c r="K21" s="13" t="s">
        <v>5</v>
      </c>
      <c r="L21" s="4"/>
    </row>
    <row r="22" spans="1:12" x14ac:dyDescent="0.25">
      <c r="A22" s="8" t="s">
        <v>10</v>
      </c>
      <c r="B22" s="3">
        <v>4</v>
      </c>
      <c r="C22" s="3" t="str">
        <f t="shared" si="1"/>
        <v>68000</v>
      </c>
      <c r="D22" s="3" t="str">
        <f t="shared" si="0"/>
        <v>8068000</v>
      </c>
      <c r="E22" s="3" t="str">
        <f t="shared" ref="E22:E25" si="2">DEC2HEX(HEX2DEC(D22)+HEX2DEC(F22)-1)</f>
        <v>8067FFF</v>
      </c>
      <c r="F22" s="3">
        <f>$B$13</f>
        <v>0</v>
      </c>
      <c r="G22" s="3">
        <f t="shared" ref="G22:G28" si="3">H22/1024</f>
        <v>0</v>
      </c>
      <c r="H22" s="2">
        <f t="shared" ref="H22:H25" si="4">HEX2DEC(F22)</f>
        <v>0</v>
      </c>
      <c r="I22" s="13">
        <f t="shared" ref="I22:I25" si="5">H22/HEX2DEC($B$5)</f>
        <v>0</v>
      </c>
      <c r="J22" s="13" t="s">
        <v>5</v>
      </c>
      <c r="K22" s="13" t="s">
        <v>5</v>
      </c>
      <c r="L22" s="4"/>
    </row>
    <row r="23" spans="1:12" x14ac:dyDescent="0.25">
      <c r="A23" s="8" t="s">
        <v>31</v>
      </c>
      <c r="B23" s="3">
        <v>0</v>
      </c>
      <c r="C23" s="3" t="str">
        <f t="shared" si="1"/>
        <v>68000</v>
      </c>
      <c r="D23" s="3" t="str">
        <f t="shared" si="0"/>
        <v>8068000</v>
      </c>
      <c r="E23" s="3" t="str">
        <f t="shared" si="2"/>
        <v>812FFFF</v>
      </c>
      <c r="F23" s="14" t="str">
        <f>DEC2HEX(IF($B$6="N",ROUNDDOWN((HEX2DEC(B4)-HEX2DEC(F16)-HEX2DEC(F19)-HEX2DEC(F20)-HEX2DEC(F18)-HEX2DEC(F21)-HEX2DEC(F17)-HEX2DEC(F22)-HEX2DEC(F25))/2/HEX2DEC($B$5),0)*HEX2DEC($B$5),(HEX2DEC(B4)-HEX2DEC(F16)-HEX2DEC(F19)-HEX2DEC(F20)-HEX2DEC(F18)-HEX2DEC(F21)-HEX2DEC(F17)-HEX2DEC(F22)-HEX2DEC(F25))))</f>
        <v>C8000</v>
      </c>
      <c r="G23" s="3">
        <f t="shared" si="3"/>
        <v>800</v>
      </c>
      <c r="H23" s="2">
        <f t="shared" si="4"/>
        <v>819200</v>
      </c>
      <c r="I23" s="13">
        <f t="shared" si="5"/>
        <v>100</v>
      </c>
      <c r="J23" s="13" t="s">
        <v>5</v>
      </c>
      <c r="K23" s="13" t="s">
        <v>5</v>
      </c>
      <c r="L23" s="4"/>
    </row>
    <row r="24" spans="1:12" x14ac:dyDescent="0.25">
      <c r="A24" s="8" t="s">
        <v>32</v>
      </c>
      <c r="B24" s="3">
        <v>2</v>
      </c>
      <c r="C24" s="3" t="str">
        <f t="shared" si="1"/>
        <v>130000</v>
      </c>
      <c r="D24" s="3" t="str">
        <f t="shared" si="0"/>
        <v>8130000</v>
      </c>
      <c r="E24" s="3" t="str">
        <f t="shared" si="2"/>
        <v>81F7FFF</v>
      </c>
      <c r="F24" s="14" t="str">
        <f>IF($B$6="N",F23,0)</f>
        <v>C8000</v>
      </c>
      <c r="G24" s="3">
        <f t="shared" si="3"/>
        <v>800</v>
      </c>
      <c r="H24" s="2">
        <f t="shared" si="4"/>
        <v>819200</v>
      </c>
      <c r="I24" s="13">
        <f t="shared" si="5"/>
        <v>100</v>
      </c>
      <c r="J24" s="13" t="s">
        <v>5</v>
      </c>
      <c r="K24" s="13" t="s">
        <v>5</v>
      </c>
      <c r="L24" s="4"/>
    </row>
    <row r="25" spans="1:12" x14ac:dyDescent="0.25">
      <c r="A25" s="8" t="s">
        <v>11</v>
      </c>
      <c r="B25" s="3">
        <v>6</v>
      </c>
      <c r="C25" s="3" t="str">
        <f t="shared" si="1"/>
        <v>1F8000</v>
      </c>
      <c r="D25" s="3" t="str">
        <f t="shared" si="0"/>
        <v>81F8000</v>
      </c>
      <c r="E25" s="3" t="str">
        <f t="shared" si="2"/>
        <v>81F7FFF</v>
      </c>
      <c r="F25" s="3">
        <f>IF($B$12="Y",F22,0)</f>
        <v>0</v>
      </c>
      <c r="G25" s="3">
        <f t="shared" si="3"/>
        <v>0</v>
      </c>
      <c r="H25" s="2">
        <f t="shared" si="4"/>
        <v>0</v>
      </c>
      <c r="I25" s="13">
        <f t="shared" si="5"/>
        <v>0</v>
      </c>
      <c r="J25" s="13" t="s">
        <v>5</v>
      </c>
      <c r="K25" s="13" t="s">
        <v>5</v>
      </c>
      <c r="L25" s="4"/>
    </row>
    <row r="26" spans="1:12" x14ac:dyDescent="0.25">
      <c r="A26" s="1" t="s">
        <v>12</v>
      </c>
      <c r="B26" s="1"/>
      <c r="C26" s="1"/>
      <c r="D26" s="1"/>
      <c r="E26" s="1"/>
      <c r="F26" s="10" t="str">
        <f>DEC2HEX(H26)</f>
        <v>1FE000</v>
      </c>
      <c r="G26" s="1">
        <f t="shared" si="3"/>
        <v>2040</v>
      </c>
      <c r="H26" s="11">
        <f>SUM(H16:H25)</f>
        <v>2088960</v>
      </c>
      <c r="I26">
        <f>H26/HEX2DEC($B$5)</f>
        <v>255</v>
      </c>
    </row>
    <row r="27" spans="1:12" x14ac:dyDescent="0.25">
      <c r="A27" s="9" t="s">
        <v>18</v>
      </c>
      <c r="B27" t="s">
        <v>17</v>
      </c>
      <c r="F27" s="11">
        <f>$B$4</f>
        <v>200000</v>
      </c>
      <c r="G27" s="1">
        <f t="shared" si="3"/>
        <v>2048</v>
      </c>
      <c r="H27" s="11">
        <f>HEX2DEC(F27)</f>
        <v>2097152</v>
      </c>
      <c r="I27">
        <f t="shared" ref="I27:I28" si="6">H27/HEX2DEC($B$5)</f>
        <v>256</v>
      </c>
    </row>
    <row r="28" spans="1:12" x14ac:dyDescent="0.25">
      <c r="A28" s="9" t="s">
        <v>21</v>
      </c>
      <c r="F28" s="11" t="str">
        <f>DEC2HEX(H28)</f>
        <v>2000</v>
      </c>
      <c r="G28" s="1">
        <f t="shared" si="3"/>
        <v>8</v>
      </c>
      <c r="H28" s="11">
        <f>H27-H26</f>
        <v>8192</v>
      </c>
      <c r="I28">
        <f t="shared" si="6"/>
        <v>1</v>
      </c>
    </row>
    <row r="30" spans="1:12" x14ac:dyDescent="0.25">
      <c r="A30" s="9" t="s">
        <v>36</v>
      </c>
      <c r="B30">
        <v>16000</v>
      </c>
    </row>
    <row r="31" spans="1:12" x14ac:dyDescent="0.25">
      <c r="A31" s="12" t="s">
        <v>23</v>
      </c>
      <c r="B31" s="7" t="s">
        <v>3</v>
      </c>
      <c r="C31" s="7" t="s">
        <v>0</v>
      </c>
      <c r="D31" s="7" t="s">
        <v>1</v>
      </c>
      <c r="E31" s="7" t="s">
        <v>27</v>
      </c>
      <c r="F31" s="7" t="s">
        <v>19</v>
      </c>
      <c r="G31" s="7" t="s">
        <v>22</v>
      </c>
      <c r="H31" s="7" t="s">
        <v>20</v>
      </c>
      <c r="I31" s="7" t="s">
        <v>26</v>
      </c>
      <c r="J31" s="12" t="s">
        <v>24</v>
      </c>
      <c r="K31" s="12" t="s">
        <v>25</v>
      </c>
    </row>
    <row r="32" spans="1:12" x14ac:dyDescent="0.25">
      <c r="A32" s="8" t="s">
        <v>33</v>
      </c>
      <c r="B32" s="3" t="s">
        <v>2</v>
      </c>
      <c r="C32" s="3">
        <v>0</v>
      </c>
      <c r="D32" s="3" t="str">
        <f>DEC2HEX(HEX2DEC($B$3)+HEX2DEC(C32))</f>
        <v>8000000</v>
      </c>
      <c r="E32" s="3" t="str">
        <f>DEC2HEX(HEX2DEC(D32)+IF(($B$10="Y"),HEX2DEC(F32)-HEX2DEC(F33),HEX2DEC(F32))-1)</f>
        <v>8011FFF</v>
      </c>
      <c r="F32" s="8">
        <v>18000</v>
      </c>
      <c r="G32" s="3">
        <f>H32/1024</f>
        <v>96</v>
      </c>
      <c r="H32" s="2">
        <f>HEX2DEC(F32)</f>
        <v>98304</v>
      </c>
      <c r="I32" s="13">
        <f>H32/HEX2DEC($B$5)</f>
        <v>12</v>
      </c>
      <c r="J32" s="13" t="s">
        <v>9</v>
      </c>
      <c r="K32" s="13" t="s">
        <v>9</v>
      </c>
    </row>
    <row r="33" spans="1:11" x14ac:dyDescent="0.25">
      <c r="A33" s="8" t="s">
        <v>8</v>
      </c>
      <c r="B33" s="3" t="s">
        <v>8</v>
      </c>
      <c r="C33" s="3" t="str">
        <f>DEC2HEX(HEX2DEC(C32)+HEX2DEC(F32)-HEX2DEC(F33))</f>
        <v>12000</v>
      </c>
      <c r="D33" s="3" t="str">
        <f>DEC2HEX(HEX2DEC($B$3)+HEX2DEC(C33))</f>
        <v>8012000</v>
      </c>
      <c r="E33" s="3" t="str">
        <f>DEC2HEX(HEX2DEC(D33)+HEX2DEC(F33)-1)</f>
        <v>8017FFF</v>
      </c>
      <c r="F33" s="8">
        <f>$B$11</f>
        <v>6000</v>
      </c>
      <c r="G33" s="3">
        <f>H33/1024</f>
        <v>24</v>
      </c>
      <c r="H33" s="2">
        <f>HEX2DEC(F33)</f>
        <v>24576</v>
      </c>
      <c r="I33" s="13">
        <f>H33/HEX2DEC($B$5)</f>
        <v>3</v>
      </c>
      <c r="J33" s="13" t="s">
        <v>9</v>
      </c>
      <c r="K33" s="13" t="s">
        <v>5</v>
      </c>
    </row>
    <row r="34" spans="1:11" x14ac:dyDescent="0.25">
      <c r="A34" s="8" t="s">
        <v>6</v>
      </c>
      <c r="B34" s="3" t="s">
        <v>7</v>
      </c>
      <c r="C34" s="3" t="str">
        <f>DEC2HEX(HEX2DEC(C32)+HEX2DEC(F32))</f>
        <v>18000</v>
      </c>
      <c r="D34" s="3" t="str">
        <f>DEC2HEX(HEX2DEC($B$3)+HEX2DEC(C34))</f>
        <v>8018000</v>
      </c>
      <c r="E34" s="3" t="str">
        <f>DEC2HEX(HEX2DEC(D34)+HEX2DEC(F34)-1)</f>
        <v>8027FFF</v>
      </c>
      <c r="F34" s="3">
        <f>IF(($B$6="N"),IF($B$7="N",10000,0),0)</f>
        <v>10000</v>
      </c>
      <c r="G34" s="3">
        <f>H34/1024</f>
        <v>64</v>
      </c>
      <c r="H34" s="2">
        <f>HEX2DEC(F34)</f>
        <v>65536</v>
      </c>
      <c r="I34" s="13">
        <f>H34/HEX2DEC($B$5)</f>
        <v>8</v>
      </c>
      <c r="J34" s="13" t="s">
        <v>5</v>
      </c>
      <c r="K34" s="13" t="s">
        <v>5</v>
      </c>
    </row>
    <row r="35" spans="1:11" x14ac:dyDescent="0.25">
      <c r="A35" s="8" t="s">
        <v>34</v>
      </c>
      <c r="B35" s="3">
        <v>0</v>
      </c>
      <c r="C35" s="3" t="str">
        <f>DEC2HEX(HEX2DEC(C34)+HEX2DEC(F34))</f>
        <v>28000</v>
      </c>
      <c r="D35" s="3" t="str">
        <f>DEC2HEX(HEX2DEC($B$3)+HEX2DEC(C35))</f>
        <v>8028000</v>
      </c>
      <c r="E35" s="3" t="str">
        <f>DEC2HEX(HEX2DEC(D35)+HEX2DEC(F35)-1)</f>
        <v>8039FFF</v>
      </c>
      <c r="F35" s="8">
        <v>12000</v>
      </c>
      <c r="G35" s="3">
        <f>H35/1024</f>
        <v>72</v>
      </c>
      <c r="H35" s="2">
        <f>HEX2DEC(F35)</f>
        <v>73728</v>
      </c>
      <c r="I35" s="13">
        <f>H35/HEX2DEC($B$5)</f>
        <v>9</v>
      </c>
      <c r="J35" s="13" t="s">
        <v>5</v>
      </c>
      <c r="K35" s="13" t="s">
        <v>5</v>
      </c>
    </row>
    <row r="36" spans="1:11" x14ac:dyDescent="0.25">
      <c r="A36" s="8" t="s">
        <v>35</v>
      </c>
      <c r="B36" s="3">
        <v>2</v>
      </c>
      <c r="C36" s="3" t="str">
        <f t="shared" ref="C36:C40" si="7">DEC2HEX(HEX2DEC(C35)+HEX2DEC(F35))</f>
        <v>3A000</v>
      </c>
      <c r="D36" s="3" t="str">
        <f t="shared" ref="D36:D40" si="8">DEC2HEX(HEX2DEC($B$3)+HEX2DEC(C36))</f>
        <v>803A000</v>
      </c>
      <c r="E36" s="3" t="str">
        <f>DEC2HEX(HEX2DEC(D36)+HEX2DEC(F36)-1)</f>
        <v>804BFFF</v>
      </c>
      <c r="F36" s="8">
        <f>F35</f>
        <v>12000</v>
      </c>
      <c r="G36" s="3">
        <f>H36/1024</f>
        <v>72</v>
      </c>
      <c r="H36" s="2">
        <f>HEX2DEC(F36)</f>
        <v>73728</v>
      </c>
      <c r="I36" s="13">
        <f>H36/HEX2DEC($B$5)</f>
        <v>9</v>
      </c>
      <c r="J36" s="13" t="s">
        <v>5</v>
      </c>
      <c r="K36" s="13" t="s">
        <v>5</v>
      </c>
    </row>
    <row r="37" spans="1:11" x14ac:dyDescent="0.25">
      <c r="A37" s="8" t="s">
        <v>10</v>
      </c>
      <c r="B37" s="3">
        <v>4</v>
      </c>
      <c r="C37" s="3" t="str">
        <f t="shared" si="7"/>
        <v>4C000</v>
      </c>
      <c r="D37" s="3" t="str">
        <f t="shared" si="8"/>
        <v>804C000</v>
      </c>
      <c r="E37" s="3" t="str">
        <f t="shared" ref="E37:E40" si="9">DEC2HEX(HEX2DEC(D37)+HEX2DEC(F37)-1)</f>
        <v>804BFFF</v>
      </c>
      <c r="F37" s="3">
        <f>$B$13</f>
        <v>0</v>
      </c>
      <c r="G37" s="3">
        <f t="shared" ref="G37:G43" si="10">H37/1024</f>
        <v>0</v>
      </c>
      <c r="H37" s="2">
        <f t="shared" ref="H37:H40" si="11">HEX2DEC(F37)</f>
        <v>0</v>
      </c>
      <c r="I37" s="13">
        <f t="shared" ref="I37:I40" si="12">H37/HEX2DEC($B$5)</f>
        <v>0</v>
      </c>
      <c r="J37" s="13" t="s">
        <v>5</v>
      </c>
      <c r="K37" s="13" t="s">
        <v>5</v>
      </c>
    </row>
    <row r="38" spans="1:11" x14ac:dyDescent="0.25">
      <c r="A38" s="8" t="s">
        <v>31</v>
      </c>
      <c r="B38" s="3">
        <v>0</v>
      </c>
      <c r="C38" s="3" t="str">
        <f t="shared" si="7"/>
        <v>4C000</v>
      </c>
      <c r="D38" s="3" t="str">
        <f t="shared" si="8"/>
        <v>804C000</v>
      </c>
      <c r="E38" s="3" t="str">
        <f t="shared" si="9"/>
        <v>8061FFF</v>
      </c>
      <c r="F38" s="15">
        <f>B30</f>
        <v>16000</v>
      </c>
      <c r="G38" s="3">
        <f t="shared" si="10"/>
        <v>88</v>
      </c>
      <c r="H38" s="2">
        <f t="shared" si="11"/>
        <v>90112</v>
      </c>
      <c r="I38" s="13">
        <f t="shared" si="12"/>
        <v>11</v>
      </c>
      <c r="J38" s="13" t="s">
        <v>5</v>
      </c>
      <c r="K38" s="13" t="s">
        <v>5</v>
      </c>
    </row>
    <row r="39" spans="1:11" x14ac:dyDescent="0.25">
      <c r="A39" s="8" t="s">
        <v>32</v>
      </c>
      <c r="B39" s="3">
        <v>2</v>
      </c>
      <c r="C39" s="3" t="str">
        <f t="shared" si="7"/>
        <v>62000</v>
      </c>
      <c r="D39" s="3" t="str">
        <f t="shared" si="8"/>
        <v>8062000</v>
      </c>
      <c r="E39" s="3" t="str">
        <f t="shared" si="9"/>
        <v>8077FFF</v>
      </c>
      <c r="F39" s="15">
        <f>IF($B$6="N",F38,0)</f>
        <v>16000</v>
      </c>
      <c r="G39" s="3">
        <f t="shared" si="10"/>
        <v>88</v>
      </c>
      <c r="H39" s="2">
        <f t="shared" si="11"/>
        <v>90112</v>
      </c>
      <c r="I39" s="13">
        <f t="shared" si="12"/>
        <v>11</v>
      </c>
      <c r="J39" s="13" t="s">
        <v>5</v>
      </c>
      <c r="K39" s="13" t="s">
        <v>5</v>
      </c>
    </row>
    <row r="40" spans="1:11" x14ac:dyDescent="0.25">
      <c r="A40" s="8" t="s">
        <v>11</v>
      </c>
      <c r="B40" s="3">
        <v>6</v>
      </c>
      <c r="C40" s="3" t="str">
        <f t="shared" si="7"/>
        <v>78000</v>
      </c>
      <c r="D40" s="3" t="str">
        <f t="shared" si="8"/>
        <v>8078000</v>
      </c>
      <c r="E40" s="3" t="str">
        <f t="shared" si="9"/>
        <v>8077FFF</v>
      </c>
      <c r="F40" s="3">
        <f>IF($B$12="Y",F37,0)</f>
        <v>0</v>
      </c>
      <c r="G40" s="3">
        <f t="shared" si="10"/>
        <v>0</v>
      </c>
      <c r="H40" s="2">
        <f t="shared" si="11"/>
        <v>0</v>
      </c>
      <c r="I40" s="13">
        <f t="shared" si="12"/>
        <v>0</v>
      </c>
      <c r="J40" s="13" t="s">
        <v>5</v>
      </c>
      <c r="K40" s="13" t="s">
        <v>5</v>
      </c>
    </row>
    <row r="41" spans="1:11" x14ac:dyDescent="0.25">
      <c r="A41" s="1" t="s">
        <v>12</v>
      </c>
      <c r="B41" s="1"/>
      <c r="C41" s="1"/>
      <c r="D41" s="1"/>
      <c r="E41" s="1"/>
      <c r="F41" s="10" t="str">
        <f>DEC2HEX(H41)</f>
        <v>7E000</v>
      </c>
      <c r="G41" s="1">
        <f t="shared" si="10"/>
        <v>504</v>
      </c>
      <c r="H41" s="11">
        <f>SUM(H32:H40)</f>
        <v>516096</v>
      </c>
      <c r="I41">
        <f>H41/HEX2DEC($B$5)</f>
        <v>63</v>
      </c>
    </row>
    <row r="42" spans="1:11" x14ac:dyDescent="0.25">
      <c r="A42" s="9" t="s">
        <v>18</v>
      </c>
      <c r="B42" t="s">
        <v>17</v>
      </c>
      <c r="F42" s="11">
        <f>$B$4</f>
        <v>200000</v>
      </c>
      <c r="G42" s="1">
        <f t="shared" si="10"/>
        <v>2048</v>
      </c>
      <c r="H42" s="11">
        <f>HEX2DEC(F42)</f>
        <v>2097152</v>
      </c>
      <c r="I42">
        <f t="shared" ref="I42:I43" si="13">H42/HEX2DEC($B$5)</f>
        <v>256</v>
      </c>
    </row>
    <row r="43" spans="1:11" x14ac:dyDescent="0.25">
      <c r="A43" s="9" t="s">
        <v>21</v>
      </c>
      <c r="F43" s="11" t="str">
        <f>DEC2HEX(H43)</f>
        <v>182000</v>
      </c>
      <c r="G43" s="1">
        <f t="shared" si="10"/>
        <v>1544</v>
      </c>
      <c r="H43" s="11">
        <f>H42-H41</f>
        <v>1581056</v>
      </c>
      <c r="I43">
        <f t="shared" si="13"/>
        <v>193</v>
      </c>
    </row>
  </sheetData>
  <conditionalFormatting sqref="B12 B6:B10">
    <cfRule type="cellIs" dxfId="14" priority="7" operator="equal">
      <formula>"Y"</formula>
    </cfRule>
    <cfRule type="cellIs" dxfId="13" priority="8" operator="equal">
      <formula>"N"</formula>
    </cfRule>
  </conditionalFormatting>
  <conditionalFormatting sqref="J32:K40 J16:L25">
    <cfRule type="cellIs" dxfId="12" priority="1" operator="equal">
      <formula>"N"</formula>
    </cfRule>
    <cfRule type="cellIs" dxfId="11" priority="2" operator="equal">
      <formula>"Y"</formula>
    </cfRule>
  </conditionalFormatting>
  <dataValidations count="2">
    <dataValidation type="list" allowBlank="1" showInputMessage="1" showErrorMessage="1" sqref="B12 J32:K40 B6:B10 J16:L25" xr:uid="{EBA8029F-00D4-49E4-8B84-75C1EA9F44E8}">
      <formula1>$B$1:$B$2</formula1>
    </dataValidation>
    <dataValidation type="decimal" operator="lessThanOrEqual" allowBlank="1" showInputMessage="1" showErrorMessage="1" errorTitle="Error" error="Total size consumed cannot exceed total user flash size!" sqref="H26 H41" xr:uid="{1D140836-F0E9-4E03-84AE-026A1CDC9976}">
      <formula1>H27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7A207-8A60-4BE2-9176-85EAD139AF59}">
  <sheetPr filterMode="1"/>
  <dimension ref="A1:Q48"/>
  <sheetViews>
    <sheetView topLeftCell="A5" workbookViewId="0">
      <pane xSplit="6" ySplit="6" topLeftCell="I11" activePane="bottomRight" state="frozen"/>
      <selection activeCell="A5" sqref="A5"/>
      <selection pane="topRight" activeCell="G5" sqref="G5"/>
      <selection pane="bottomLeft" activeCell="A11" sqref="A11"/>
      <selection pane="bottomRight" activeCell="J41" sqref="J41"/>
    </sheetView>
  </sheetViews>
  <sheetFormatPr defaultRowHeight="15" x14ac:dyDescent="0.25"/>
  <cols>
    <col min="1" max="1" width="12.140625" customWidth="1"/>
    <col min="2" max="2" width="10.42578125" customWidth="1"/>
    <col min="3" max="3" width="25.7109375" bestFit="1" customWidth="1"/>
    <col min="4" max="4" width="26.28515625" bestFit="1" customWidth="1"/>
    <col min="5" max="5" width="15.42578125" bestFit="1" customWidth="1"/>
    <col min="6" max="6" width="16.5703125" bestFit="1" customWidth="1"/>
    <col min="7" max="7" width="14.5703125" bestFit="1" customWidth="1"/>
    <col min="8" max="8" width="20.28515625" bestFit="1" customWidth="1"/>
    <col min="9" max="9" width="16" bestFit="1" customWidth="1"/>
    <col min="10" max="10" width="17.140625" customWidth="1"/>
    <col min="11" max="13" width="15.140625" customWidth="1"/>
    <col min="14" max="14" width="13.7109375" customWidth="1"/>
    <col min="15" max="15" width="14.140625" customWidth="1"/>
    <col min="16" max="16" width="12.28515625" bestFit="1" customWidth="1"/>
    <col min="17" max="17" width="13.28515625" bestFit="1" customWidth="1"/>
  </cols>
  <sheetData>
    <row r="1" spans="1:17" hidden="1" x14ac:dyDescent="0.25">
      <c r="A1" t="s">
        <v>47</v>
      </c>
      <c r="B1" t="s">
        <v>48</v>
      </c>
      <c r="C1" t="s">
        <v>49</v>
      </c>
      <c r="D1">
        <v>0</v>
      </c>
    </row>
    <row r="2" spans="1:17" hidden="1" x14ac:dyDescent="0.25">
      <c r="A2" t="s">
        <v>50</v>
      </c>
      <c r="B2" t="s">
        <v>51</v>
      </c>
      <c r="C2" t="s">
        <v>52</v>
      </c>
      <c r="D2">
        <v>1</v>
      </c>
    </row>
    <row r="3" spans="1:17" hidden="1" x14ac:dyDescent="0.25">
      <c r="B3" t="s">
        <v>53</v>
      </c>
      <c r="C3" t="s">
        <v>54</v>
      </c>
    </row>
    <row r="4" spans="1:17" hidden="1" x14ac:dyDescent="0.25">
      <c r="C4" t="s">
        <v>55</v>
      </c>
    </row>
    <row r="5" spans="1:17" x14ac:dyDescent="0.25">
      <c r="A5" t="s">
        <v>56</v>
      </c>
    </row>
    <row r="6" spans="1:17" x14ac:dyDescent="0.25">
      <c r="B6" t="s">
        <v>57</v>
      </c>
    </row>
    <row r="7" spans="1:17" x14ac:dyDescent="0.25">
      <c r="B7" t="s">
        <v>58</v>
      </c>
    </row>
    <row r="8" spans="1:17" x14ac:dyDescent="0.25">
      <c r="B8" t="s">
        <v>59</v>
      </c>
    </row>
    <row r="9" spans="1:17" x14ac:dyDescent="0.25">
      <c r="G9" t="s">
        <v>61</v>
      </c>
      <c r="H9" s="4" t="s">
        <v>75</v>
      </c>
      <c r="I9" s="19" t="s">
        <v>76</v>
      </c>
      <c r="J9" s="19"/>
      <c r="K9" s="19"/>
      <c r="L9" s="19" t="s">
        <v>77</v>
      </c>
      <c r="M9" s="19"/>
      <c r="N9" s="19"/>
      <c r="O9" s="19" t="s">
        <v>78</v>
      </c>
      <c r="P9" s="19"/>
      <c r="Q9" s="19"/>
    </row>
    <row r="10" spans="1:17" ht="15.75" x14ac:dyDescent="0.25">
      <c r="A10" s="16" t="s">
        <v>45</v>
      </c>
      <c r="B10" s="17" t="s">
        <v>46</v>
      </c>
      <c r="C10" s="16" t="s">
        <v>71</v>
      </c>
      <c r="D10" s="16" t="s">
        <v>72</v>
      </c>
      <c r="E10" s="16" t="s">
        <v>60</v>
      </c>
      <c r="F10" s="16" t="s">
        <v>74</v>
      </c>
      <c r="G10" s="16" t="s">
        <v>61</v>
      </c>
      <c r="H10" s="16" t="s">
        <v>67</v>
      </c>
      <c r="I10" s="16" t="s">
        <v>68</v>
      </c>
      <c r="J10" s="16" t="s">
        <v>69</v>
      </c>
      <c r="K10" s="16" t="s">
        <v>62</v>
      </c>
      <c r="L10" s="16" t="s">
        <v>70</v>
      </c>
      <c r="M10" s="16" t="s">
        <v>63</v>
      </c>
      <c r="N10" s="16" t="s">
        <v>64</v>
      </c>
      <c r="O10" s="16" t="s">
        <v>73</v>
      </c>
      <c r="P10" s="16" t="s">
        <v>65</v>
      </c>
      <c r="Q10" s="16" t="s">
        <v>66</v>
      </c>
    </row>
    <row r="11" spans="1:17" ht="15.75" x14ac:dyDescent="0.25">
      <c r="A11" s="18">
        <v>1</v>
      </c>
      <c r="B11" s="13" t="s">
        <v>48</v>
      </c>
      <c r="C11" s="13" t="s">
        <v>50</v>
      </c>
      <c r="D11" s="13" t="s">
        <v>50</v>
      </c>
      <c r="E11" s="13" t="s">
        <v>47</v>
      </c>
      <c r="F11" s="13">
        <v>1</v>
      </c>
      <c r="G11" s="13" t="s">
        <v>49</v>
      </c>
      <c r="H11" s="13" t="s">
        <v>49</v>
      </c>
      <c r="I11" s="13" t="s">
        <v>49</v>
      </c>
      <c r="J11" s="13" t="s">
        <v>49</v>
      </c>
      <c r="K11" s="13" t="s">
        <v>49</v>
      </c>
      <c r="L11" s="13" t="s">
        <v>49</v>
      </c>
      <c r="M11" s="13" t="s">
        <v>49</v>
      </c>
      <c r="N11" s="13" t="s">
        <v>49</v>
      </c>
      <c r="O11" s="13" t="s">
        <v>49</v>
      </c>
      <c r="P11" s="13" t="s">
        <v>49</v>
      </c>
      <c r="Q11" s="13" t="s">
        <v>49</v>
      </c>
    </row>
    <row r="12" spans="1:17" ht="15.75" x14ac:dyDescent="0.25">
      <c r="A12" s="18">
        <v>2</v>
      </c>
      <c r="B12" s="13" t="s">
        <v>48</v>
      </c>
      <c r="C12" s="13" t="s">
        <v>50</v>
      </c>
      <c r="D12" s="13" t="s">
        <v>50</v>
      </c>
      <c r="E12" s="13" t="s">
        <v>47</v>
      </c>
      <c r="F12" s="13">
        <v>0</v>
      </c>
      <c r="G12" s="13" t="s">
        <v>49</v>
      </c>
      <c r="H12" s="13" t="s">
        <v>49</v>
      </c>
      <c r="I12" s="13" t="s">
        <v>49</v>
      </c>
      <c r="J12" s="13" t="s">
        <v>49</v>
      </c>
      <c r="K12" s="13" t="s">
        <v>49</v>
      </c>
      <c r="L12" s="13" t="s">
        <v>49</v>
      </c>
      <c r="M12" s="13" t="s">
        <v>49</v>
      </c>
      <c r="N12" s="13" t="s">
        <v>54</v>
      </c>
      <c r="O12" s="13" t="s">
        <v>49</v>
      </c>
      <c r="P12" s="13" t="s">
        <v>54</v>
      </c>
      <c r="Q12" s="13" t="s">
        <v>54</v>
      </c>
    </row>
    <row r="13" spans="1:17" ht="15.75" x14ac:dyDescent="0.25">
      <c r="A13" s="18">
        <v>3</v>
      </c>
      <c r="B13" s="13" t="s">
        <v>48</v>
      </c>
      <c r="C13" s="13" t="s">
        <v>50</v>
      </c>
      <c r="D13" s="13" t="s">
        <v>47</v>
      </c>
      <c r="E13" s="13" t="s">
        <v>47</v>
      </c>
      <c r="F13" s="13">
        <v>1</v>
      </c>
      <c r="G13" s="13" t="s">
        <v>49</v>
      </c>
      <c r="H13" s="13" t="s">
        <v>49</v>
      </c>
      <c r="I13" s="13" t="s">
        <v>49</v>
      </c>
      <c r="J13" s="13" t="s">
        <v>49</v>
      </c>
      <c r="K13" s="13" t="s">
        <v>49</v>
      </c>
      <c r="L13" s="13" t="s">
        <v>49</v>
      </c>
      <c r="M13" s="13" t="s">
        <v>49</v>
      </c>
      <c r="N13" s="13" t="s">
        <v>49</v>
      </c>
      <c r="O13" s="13" t="s">
        <v>49</v>
      </c>
      <c r="P13" s="13" t="s">
        <v>54</v>
      </c>
      <c r="Q13" s="13" t="s">
        <v>54</v>
      </c>
    </row>
    <row r="14" spans="1:17" ht="15.75" x14ac:dyDescent="0.25">
      <c r="A14" s="18">
        <v>4</v>
      </c>
      <c r="B14" s="13" t="s">
        <v>48</v>
      </c>
      <c r="C14" s="13" t="s">
        <v>50</v>
      </c>
      <c r="D14" s="13" t="s">
        <v>47</v>
      </c>
      <c r="E14" s="13" t="s">
        <v>47</v>
      </c>
      <c r="F14" s="13">
        <v>0</v>
      </c>
      <c r="G14" s="13" t="s">
        <v>49</v>
      </c>
      <c r="H14" s="13" t="s">
        <v>49</v>
      </c>
      <c r="I14" s="13" t="s">
        <v>49</v>
      </c>
      <c r="J14" s="13" t="s">
        <v>49</v>
      </c>
      <c r="K14" s="13" t="s">
        <v>49</v>
      </c>
      <c r="L14" s="13" t="s">
        <v>49</v>
      </c>
      <c r="M14" s="13" t="s">
        <v>49</v>
      </c>
      <c r="N14" s="13" t="s">
        <v>54</v>
      </c>
      <c r="O14" s="13" t="s">
        <v>49</v>
      </c>
      <c r="P14" s="13" t="s">
        <v>54</v>
      </c>
      <c r="Q14" s="13" t="s">
        <v>54</v>
      </c>
    </row>
    <row r="15" spans="1:17" ht="15.75" hidden="1" x14ac:dyDescent="0.25">
      <c r="A15" s="18">
        <v>5</v>
      </c>
      <c r="B15" s="13" t="s">
        <v>51</v>
      </c>
      <c r="C15" s="13" t="s">
        <v>50</v>
      </c>
      <c r="D15" s="13" t="s">
        <v>50</v>
      </c>
      <c r="E15" s="13" t="s">
        <v>47</v>
      </c>
      <c r="F15" s="13">
        <v>1</v>
      </c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</row>
    <row r="16" spans="1:17" ht="15.75" hidden="1" x14ac:dyDescent="0.25">
      <c r="A16" s="18">
        <v>6</v>
      </c>
      <c r="B16" s="13" t="s">
        <v>51</v>
      </c>
      <c r="C16" s="13" t="s">
        <v>50</v>
      </c>
      <c r="D16" s="13" t="s">
        <v>50</v>
      </c>
      <c r="E16" s="13" t="s">
        <v>47</v>
      </c>
      <c r="F16" s="13">
        <v>0</v>
      </c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</row>
    <row r="17" spans="1:17" ht="15.75" hidden="1" x14ac:dyDescent="0.25">
      <c r="A17" s="18">
        <v>7</v>
      </c>
      <c r="B17" s="13" t="s">
        <v>51</v>
      </c>
      <c r="C17" s="13" t="s">
        <v>50</v>
      </c>
      <c r="D17" s="13" t="s">
        <v>47</v>
      </c>
      <c r="E17" s="13" t="s">
        <v>47</v>
      </c>
      <c r="F17" s="13">
        <v>1</v>
      </c>
      <c r="G17" s="13"/>
      <c r="H17" s="13"/>
      <c r="I17" s="13"/>
      <c r="J17" s="13"/>
      <c r="K17" s="13"/>
      <c r="L17" s="13"/>
      <c r="M17" s="13"/>
      <c r="N17" s="13"/>
      <c r="O17" s="13"/>
      <c r="P17" s="13" t="s">
        <v>54</v>
      </c>
      <c r="Q17" s="13" t="s">
        <v>54</v>
      </c>
    </row>
    <row r="18" spans="1:17" ht="15.75" hidden="1" x14ac:dyDescent="0.25">
      <c r="A18" s="18">
        <v>8</v>
      </c>
      <c r="B18" s="13" t="s">
        <v>51</v>
      </c>
      <c r="C18" s="13" t="s">
        <v>50</v>
      </c>
      <c r="D18" s="13" t="s">
        <v>47</v>
      </c>
      <c r="E18" s="13" t="s">
        <v>47</v>
      </c>
      <c r="F18" s="13">
        <v>0</v>
      </c>
      <c r="G18" s="13"/>
      <c r="H18" s="13"/>
      <c r="I18" s="13"/>
      <c r="J18" s="13"/>
      <c r="K18" s="13"/>
      <c r="L18" s="13"/>
      <c r="M18" s="13"/>
      <c r="N18" s="13"/>
      <c r="O18" s="13"/>
      <c r="P18" s="13" t="s">
        <v>54</v>
      </c>
      <c r="Q18" s="13" t="s">
        <v>54</v>
      </c>
    </row>
    <row r="19" spans="1:17" ht="15.75" x14ac:dyDescent="0.25">
      <c r="A19" s="18">
        <v>9</v>
      </c>
      <c r="B19" s="13" t="s">
        <v>53</v>
      </c>
      <c r="C19" s="13" t="s">
        <v>50</v>
      </c>
      <c r="D19" s="13" t="s">
        <v>50</v>
      </c>
      <c r="E19" s="13" t="s">
        <v>47</v>
      </c>
      <c r="F19" s="13">
        <v>1</v>
      </c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</row>
    <row r="20" spans="1:17" ht="15.75" x14ac:dyDescent="0.25">
      <c r="A20" s="18">
        <v>10</v>
      </c>
      <c r="B20" s="13" t="s">
        <v>53</v>
      </c>
      <c r="C20" s="13" t="s">
        <v>50</v>
      </c>
      <c r="D20" s="13" t="s">
        <v>50</v>
      </c>
      <c r="E20" s="13" t="s">
        <v>47</v>
      </c>
      <c r="F20" s="13">
        <v>0</v>
      </c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</row>
    <row r="21" spans="1:17" ht="15.75" x14ac:dyDescent="0.25">
      <c r="A21" s="18">
        <v>11</v>
      </c>
      <c r="B21" s="13" t="s">
        <v>53</v>
      </c>
      <c r="C21" s="13" t="s">
        <v>50</v>
      </c>
      <c r="D21" s="13" t="s">
        <v>47</v>
      </c>
      <c r="E21" s="13" t="s">
        <v>47</v>
      </c>
      <c r="F21" s="13">
        <v>1</v>
      </c>
      <c r="G21" s="13"/>
      <c r="H21" s="13"/>
      <c r="I21" s="13"/>
      <c r="J21" s="13"/>
      <c r="K21" s="13"/>
      <c r="L21" s="13"/>
      <c r="M21" s="13"/>
      <c r="N21" s="13"/>
      <c r="O21" s="13"/>
      <c r="P21" s="13" t="s">
        <v>54</v>
      </c>
      <c r="Q21" s="13" t="s">
        <v>54</v>
      </c>
    </row>
    <row r="22" spans="1:17" ht="15.75" x14ac:dyDescent="0.25">
      <c r="A22" s="18">
        <v>11</v>
      </c>
      <c r="B22" s="13" t="s">
        <v>53</v>
      </c>
      <c r="C22" s="13" t="s">
        <v>50</v>
      </c>
      <c r="D22" s="13" t="s">
        <v>47</v>
      </c>
      <c r="E22" s="13" t="s">
        <v>47</v>
      </c>
      <c r="F22" s="13">
        <v>1</v>
      </c>
      <c r="G22" s="13"/>
      <c r="H22" s="13"/>
      <c r="I22" s="13"/>
      <c r="J22" s="13"/>
      <c r="K22" s="13"/>
      <c r="L22" s="13"/>
      <c r="M22" s="13"/>
      <c r="N22" s="13"/>
      <c r="O22" s="13"/>
      <c r="P22" s="13" t="s">
        <v>54</v>
      </c>
      <c r="Q22" s="13" t="s">
        <v>54</v>
      </c>
    </row>
    <row r="23" spans="1:17" ht="15.75" x14ac:dyDescent="0.25">
      <c r="A23" s="18">
        <v>19</v>
      </c>
      <c r="B23" s="13" t="s">
        <v>48</v>
      </c>
      <c r="C23" s="13" t="s">
        <v>47</v>
      </c>
      <c r="D23" s="13" t="s">
        <v>50</v>
      </c>
      <c r="E23" s="13" t="s">
        <v>47</v>
      </c>
      <c r="F23" s="13">
        <v>1</v>
      </c>
      <c r="G23" s="13" t="s">
        <v>49</v>
      </c>
      <c r="H23" s="13" t="s">
        <v>49</v>
      </c>
      <c r="I23" s="13" t="s">
        <v>49</v>
      </c>
      <c r="J23" s="13" t="s">
        <v>49</v>
      </c>
      <c r="K23" s="13" t="s">
        <v>49</v>
      </c>
      <c r="L23" s="13" t="s">
        <v>49</v>
      </c>
      <c r="M23" s="13" t="s">
        <v>49</v>
      </c>
      <c r="N23" s="13" t="s">
        <v>49</v>
      </c>
      <c r="O23" s="13" t="s">
        <v>54</v>
      </c>
      <c r="P23" s="13" t="s">
        <v>49</v>
      </c>
      <c r="Q23" s="13" t="s">
        <v>49</v>
      </c>
    </row>
    <row r="24" spans="1:17" ht="15.75" x14ac:dyDescent="0.25">
      <c r="A24" s="18">
        <v>20</v>
      </c>
      <c r="B24" s="13" t="s">
        <v>48</v>
      </c>
      <c r="C24" s="13" t="s">
        <v>47</v>
      </c>
      <c r="D24" s="13" t="s">
        <v>50</v>
      </c>
      <c r="E24" s="13" t="s">
        <v>47</v>
      </c>
      <c r="F24" s="13">
        <v>0</v>
      </c>
      <c r="G24" s="13" t="s">
        <v>49</v>
      </c>
      <c r="H24" s="13" t="s">
        <v>49</v>
      </c>
      <c r="I24" s="13" t="s">
        <v>49</v>
      </c>
      <c r="J24" s="13" t="s">
        <v>49</v>
      </c>
      <c r="K24" s="13" t="s">
        <v>49</v>
      </c>
      <c r="L24" s="13" t="s">
        <v>49</v>
      </c>
      <c r="M24" s="13" t="s">
        <v>49</v>
      </c>
      <c r="N24" s="13" t="s">
        <v>54</v>
      </c>
      <c r="O24" s="13" t="s">
        <v>54</v>
      </c>
      <c r="P24" s="13" t="s">
        <v>49</v>
      </c>
      <c r="Q24" s="13" t="s">
        <v>54</v>
      </c>
    </row>
    <row r="25" spans="1:17" ht="15.75" x14ac:dyDescent="0.25">
      <c r="A25" s="18">
        <v>19</v>
      </c>
      <c r="B25" s="13" t="s">
        <v>48</v>
      </c>
      <c r="C25" s="13" t="s">
        <v>47</v>
      </c>
      <c r="D25" s="13" t="s">
        <v>47</v>
      </c>
      <c r="E25" s="13" t="s">
        <v>47</v>
      </c>
      <c r="F25" s="13">
        <v>1</v>
      </c>
      <c r="G25" s="13" t="s">
        <v>49</v>
      </c>
      <c r="H25" s="13" t="s">
        <v>49</v>
      </c>
      <c r="I25" s="13" t="s">
        <v>49</v>
      </c>
      <c r="J25" s="13" t="s">
        <v>49</v>
      </c>
      <c r="K25" s="13" t="s">
        <v>49</v>
      </c>
      <c r="L25" s="13" t="s">
        <v>49</v>
      </c>
      <c r="M25" s="13" t="s">
        <v>49</v>
      </c>
      <c r="N25" s="13" t="s">
        <v>49</v>
      </c>
      <c r="O25" s="13" t="s">
        <v>54</v>
      </c>
      <c r="P25" s="13" t="s">
        <v>54</v>
      </c>
      <c r="Q25" s="13" t="s">
        <v>54</v>
      </c>
    </row>
    <row r="26" spans="1:17" ht="15.75" x14ac:dyDescent="0.25">
      <c r="A26" s="18">
        <v>20</v>
      </c>
      <c r="B26" s="13" t="s">
        <v>48</v>
      </c>
      <c r="C26" s="13" t="s">
        <v>47</v>
      </c>
      <c r="D26" s="13" t="s">
        <v>47</v>
      </c>
      <c r="E26" s="13" t="s">
        <v>47</v>
      </c>
      <c r="F26" s="13">
        <v>0</v>
      </c>
      <c r="G26" s="13" t="s">
        <v>49</v>
      </c>
      <c r="H26" s="13" t="s">
        <v>49</v>
      </c>
      <c r="I26" s="13" t="s">
        <v>49</v>
      </c>
      <c r="J26" s="13" t="s">
        <v>49</v>
      </c>
      <c r="K26" s="13" t="s">
        <v>49</v>
      </c>
      <c r="L26" s="13" t="s">
        <v>49</v>
      </c>
      <c r="M26" s="13" t="s">
        <v>49</v>
      </c>
      <c r="N26" s="13" t="s">
        <v>54</v>
      </c>
      <c r="O26" s="13" t="s">
        <v>54</v>
      </c>
      <c r="P26" s="13" t="s">
        <v>54</v>
      </c>
      <c r="Q26" s="13" t="s">
        <v>54</v>
      </c>
    </row>
    <row r="27" spans="1:17" ht="15.75" hidden="1" x14ac:dyDescent="0.25">
      <c r="A27" s="18">
        <v>21</v>
      </c>
      <c r="B27" s="13" t="s">
        <v>51</v>
      </c>
      <c r="C27" s="13" t="s">
        <v>47</v>
      </c>
      <c r="D27" s="13" t="s">
        <v>50</v>
      </c>
      <c r="E27" s="13" t="s">
        <v>47</v>
      </c>
      <c r="F27" s="13">
        <v>1</v>
      </c>
      <c r="G27" s="13"/>
      <c r="H27" s="13"/>
      <c r="I27" s="13"/>
      <c r="J27" s="13"/>
      <c r="K27" s="13"/>
      <c r="L27" s="13"/>
      <c r="M27" s="13"/>
      <c r="N27" s="13"/>
      <c r="O27" s="13" t="s">
        <v>54</v>
      </c>
      <c r="P27" s="13"/>
      <c r="Q27" s="13"/>
    </row>
    <row r="28" spans="1:17" ht="15.75" hidden="1" x14ac:dyDescent="0.25">
      <c r="A28" s="18">
        <v>22</v>
      </c>
      <c r="B28" s="13" t="s">
        <v>51</v>
      </c>
      <c r="C28" s="13" t="s">
        <v>47</v>
      </c>
      <c r="D28" s="13" t="s">
        <v>50</v>
      </c>
      <c r="E28" s="13" t="s">
        <v>47</v>
      </c>
      <c r="F28" s="13">
        <v>0</v>
      </c>
      <c r="G28" s="13"/>
      <c r="H28" s="13"/>
      <c r="I28" s="13"/>
      <c r="J28" s="13"/>
      <c r="K28" s="13"/>
      <c r="L28" s="13"/>
      <c r="M28" s="13"/>
      <c r="N28" s="13"/>
      <c r="O28" s="13" t="s">
        <v>54</v>
      </c>
      <c r="P28" s="13"/>
      <c r="Q28" s="13"/>
    </row>
    <row r="29" spans="1:17" ht="15.75" hidden="1" x14ac:dyDescent="0.25">
      <c r="A29" s="18">
        <v>21</v>
      </c>
      <c r="B29" s="13" t="s">
        <v>51</v>
      </c>
      <c r="C29" s="13" t="s">
        <v>47</v>
      </c>
      <c r="D29" s="13" t="s">
        <v>47</v>
      </c>
      <c r="E29" s="13" t="s">
        <v>47</v>
      </c>
      <c r="F29" s="13">
        <v>1</v>
      </c>
      <c r="G29" s="13"/>
      <c r="H29" s="13"/>
      <c r="I29" s="13"/>
      <c r="J29" s="13"/>
      <c r="K29" s="13"/>
      <c r="L29" s="13"/>
      <c r="M29" s="13"/>
      <c r="N29" s="13"/>
      <c r="O29" s="13" t="s">
        <v>54</v>
      </c>
      <c r="P29" s="13" t="s">
        <v>54</v>
      </c>
      <c r="Q29" s="13" t="s">
        <v>54</v>
      </c>
    </row>
    <row r="30" spans="1:17" ht="15.75" hidden="1" x14ac:dyDescent="0.25">
      <c r="A30" s="18">
        <v>22</v>
      </c>
      <c r="B30" s="13" t="s">
        <v>51</v>
      </c>
      <c r="C30" s="13" t="s">
        <v>47</v>
      </c>
      <c r="D30" s="13" t="s">
        <v>47</v>
      </c>
      <c r="E30" s="13" t="s">
        <v>47</v>
      </c>
      <c r="F30" s="13">
        <v>0</v>
      </c>
      <c r="G30" s="13"/>
      <c r="H30" s="13"/>
      <c r="I30" s="13"/>
      <c r="J30" s="13"/>
      <c r="K30" s="13"/>
      <c r="L30" s="13"/>
      <c r="M30" s="13"/>
      <c r="N30" s="13"/>
      <c r="O30" s="13" t="s">
        <v>54</v>
      </c>
      <c r="P30" s="13" t="s">
        <v>54</v>
      </c>
      <c r="Q30" s="13" t="s">
        <v>54</v>
      </c>
    </row>
    <row r="31" spans="1:17" ht="15.75" x14ac:dyDescent="0.25">
      <c r="A31" s="18">
        <v>23</v>
      </c>
      <c r="B31" s="13" t="s">
        <v>53</v>
      </c>
      <c r="C31" s="13" t="s">
        <v>47</v>
      </c>
      <c r="D31" s="13" t="s">
        <v>50</v>
      </c>
      <c r="E31" s="13" t="s">
        <v>47</v>
      </c>
      <c r="F31" s="13">
        <v>1</v>
      </c>
      <c r="G31" s="13"/>
      <c r="H31" s="13"/>
      <c r="I31" s="13"/>
      <c r="J31" s="13"/>
      <c r="K31" s="13"/>
      <c r="L31" s="13"/>
      <c r="M31" s="13"/>
      <c r="N31" s="13"/>
      <c r="O31" s="13" t="s">
        <v>54</v>
      </c>
      <c r="P31" s="13"/>
      <c r="Q31" s="13"/>
    </row>
    <row r="32" spans="1:17" ht="15.75" x14ac:dyDescent="0.25">
      <c r="A32" s="18">
        <v>24</v>
      </c>
      <c r="B32" s="13" t="s">
        <v>53</v>
      </c>
      <c r="C32" s="13" t="s">
        <v>47</v>
      </c>
      <c r="D32" s="13" t="s">
        <v>50</v>
      </c>
      <c r="E32" s="13" t="s">
        <v>47</v>
      </c>
      <c r="F32" s="13">
        <v>0</v>
      </c>
      <c r="G32" s="13"/>
      <c r="H32" s="13"/>
      <c r="I32" s="13"/>
      <c r="J32" s="13"/>
      <c r="K32" s="13"/>
      <c r="L32" s="13"/>
      <c r="M32" s="13"/>
      <c r="N32" s="13"/>
      <c r="O32" s="13" t="s">
        <v>54</v>
      </c>
      <c r="P32" s="13"/>
      <c r="Q32" s="13"/>
    </row>
    <row r="33" spans="1:17" ht="15.75" x14ac:dyDescent="0.25">
      <c r="A33" s="18">
        <v>23</v>
      </c>
      <c r="B33" s="13" t="s">
        <v>53</v>
      </c>
      <c r="C33" s="13" t="s">
        <v>47</v>
      </c>
      <c r="D33" s="13" t="s">
        <v>47</v>
      </c>
      <c r="E33" s="13" t="s">
        <v>47</v>
      </c>
      <c r="F33" s="13">
        <v>1</v>
      </c>
      <c r="G33" s="13"/>
      <c r="H33" s="13"/>
      <c r="I33" s="13"/>
      <c r="J33" s="13"/>
      <c r="K33" s="13"/>
      <c r="L33" s="13"/>
      <c r="M33" s="13"/>
      <c r="N33" s="13"/>
      <c r="O33" s="13" t="s">
        <v>54</v>
      </c>
      <c r="P33" s="13" t="s">
        <v>54</v>
      </c>
      <c r="Q33" s="13" t="s">
        <v>54</v>
      </c>
    </row>
    <row r="34" spans="1:17" ht="15.75" x14ac:dyDescent="0.25">
      <c r="A34" s="18">
        <v>24</v>
      </c>
      <c r="B34" s="13" t="s">
        <v>53</v>
      </c>
      <c r="C34" s="13" t="s">
        <v>47</v>
      </c>
      <c r="D34" s="13" t="s">
        <v>47</v>
      </c>
      <c r="E34" s="13" t="s">
        <v>47</v>
      </c>
      <c r="F34" s="13">
        <v>0</v>
      </c>
      <c r="G34" s="13"/>
      <c r="H34" s="13"/>
      <c r="I34" s="13"/>
      <c r="J34" s="13"/>
      <c r="K34" s="13"/>
      <c r="L34" s="13"/>
      <c r="M34" s="13"/>
      <c r="N34" s="13"/>
      <c r="O34" s="13" t="s">
        <v>54</v>
      </c>
      <c r="P34" s="13" t="s">
        <v>54</v>
      </c>
      <c r="Q34" s="13" t="s">
        <v>54</v>
      </c>
    </row>
    <row r="35" spans="1:17" ht="15.75" hidden="1" x14ac:dyDescent="0.25">
      <c r="A35" s="18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</row>
    <row r="48" spans="1:17" x14ac:dyDescent="0.25">
      <c r="K48">
        <v>4</v>
      </c>
    </row>
  </sheetData>
  <autoFilter ref="A10:O35" xr:uid="{0C038A9E-CEFD-4214-9C95-3A58D0A50079}">
    <filterColumn colId="1">
      <filters>
        <filter val="CubeIDE"/>
        <filter val="IAR"/>
      </filters>
    </filterColumn>
  </autoFilter>
  <mergeCells count="3">
    <mergeCell ref="I9:K9"/>
    <mergeCell ref="L9:N9"/>
    <mergeCell ref="O9:Q9"/>
  </mergeCells>
  <conditionalFormatting sqref="B11:B35">
    <cfRule type="cellIs" dxfId="10" priority="1" operator="equal">
      <formula>$B$3</formula>
    </cfRule>
    <cfRule type="cellIs" dxfId="9" priority="2" operator="equal">
      <formula>$B$2</formula>
    </cfRule>
    <cfRule type="cellIs" dxfId="8" priority="3" operator="equal">
      <formula>$B$1</formula>
    </cfRule>
  </conditionalFormatting>
  <conditionalFormatting sqref="C11:E35">
    <cfRule type="cellIs" dxfId="7" priority="6" operator="equal">
      <formula>$A$2</formula>
    </cfRule>
    <cfRule type="cellIs" dxfId="6" priority="7" operator="equal">
      <formula>$A$1</formula>
    </cfRule>
  </conditionalFormatting>
  <conditionalFormatting sqref="F11:F35">
    <cfRule type="cellIs" dxfId="5" priority="4" operator="equal">
      <formula>$D$2</formula>
    </cfRule>
    <cfRule type="cellIs" dxfId="4" priority="5" operator="equal">
      <formula>$D$1</formula>
    </cfRule>
  </conditionalFormatting>
  <conditionalFormatting sqref="G11:Q35">
    <cfRule type="cellIs" dxfId="3" priority="8" operator="equal">
      <formula>$C$4</formula>
    </cfRule>
    <cfRule type="cellIs" dxfId="2" priority="9" operator="equal">
      <formula>$C$3</formula>
    </cfRule>
    <cfRule type="cellIs" dxfId="1" priority="10" operator="equal">
      <formula>$C$1</formula>
    </cfRule>
    <cfRule type="cellIs" dxfId="0" priority="11" operator="equal">
      <formula>$C$2</formula>
    </cfRule>
  </conditionalFormatting>
  <dataValidations count="4">
    <dataValidation type="list" allowBlank="1" showInputMessage="1" showErrorMessage="1" sqref="B11:B35" xr:uid="{2ACA2996-F9E9-44DD-80F5-489C5FBCFDAD}">
      <formula1>$B$1:$B$3</formula1>
    </dataValidation>
    <dataValidation type="list" allowBlank="1" showInputMessage="1" showErrorMessage="1" sqref="G11:Q35" xr:uid="{D94338F6-98C0-47B4-821C-143E36B266AE}">
      <formula1>$C$1:$C$4</formula1>
    </dataValidation>
    <dataValidation type="list" allowBlank="1" showInputMessage="1" showErrorMessage="1" sqref="F11:F35" xr:uid="{A6427DF1-B780-4F7B-BDF4-F7311039AE6F}">
      <formula1>$D$1:$D$2</formula1>
    </dataValidation>
    <dataValidation type="list" allowBlank="1" showInputMessage="1" showErrorMessage="1" sqref="C11:E35" xr:uid="{B6C08D57-4B55-46E9-B34D-85639A03E6F5}">
      <formula1>$A$1:$A$2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cf8c7287-838c-46dd-b281-b1140229e67a}" enabled="1" method="Privileged" siteId="{75e027c9-20d5-47d5-b82f-77d7cd041e8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OEMiROT+OEMuROT Flash Layout</vt:lpstr>
      <vt:lpstr>Test cases</vt:lpstr>
    </vt:vector>
  </TitlesOfParts>
  <Company>STMicroelectronics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Sunny CHEN</dc:creator>
  <cp:lastModifiedBy>Sunny CHEN</cp:lastModifiedBy>
  <dcterms:created xsi:type="dcterms:W3CDTF">2026-01-30T09:25:41Z</dcterms:created>
  <dcterms:modified xsi:type="dcterms:W3CDTF">2026-04-28T02:57:48Z</dcterms:modified>
</cp:coreProperties>
</file>