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T\Cube\Cube1\STM32CubeH5\Projects\NUCLEO-H563ZI\Applications\ROT_NTZ\"/>
    </mc:Choice>
  </mc:AlternateContent>
  <xr:revisionPtr revIDLastSave="0" documentId="13_ncr:1_{3D61B6FC-AEDF-4EC1-BA32-A70EE41712D5}" xr6:coauthVersionLast="47" xr6:coauthVersionMax="47" xr10:uidLastSave="{00000000-0000-0000-0000-000000000000}"/>
  <bookViews>
    <workbookView xWindow="2685" yWindow="0" windowWidth="24360" windowHeight="15585" activeTab="2" xr2:uid="{973ADE99-8809-4282-875C-44A8EA15E93C}"/>
  </bookViews>
  <sheets>
    <sheet name="OEMiROT Flash Layout" sheetId="1" r:id="rId1"/>
    <sheet name="Build Actions" sheetId="2" r:id="rId2"/>
    <sheet name="Test cases" sheetId="3" r:id="rId3"/>
  </sheets>
  <definedNames>
    <definedName name="_xlnm._FilterDatabase" localSheetId="2" hidden="1">'Test cases'!$A$9:$L$46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" i="2" l="1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7" i="2"/>
  <c r="H6" i="2"/>
  <c r="H18" i="2"/>
  <c r="H17" i="2"/>
  <c r="H16" i="2"/>
  <c r="H15" i="2"/>
  <c r="H14" i="2"/>
  <c r="H13" i="2"/>
  <c r="H12" i="2"/>
  <c r="H11" i="2"/>
  <c r="H10" i="2"/>
  <c r="H9" i="2"/>
  <c r="F35" i="1"/>
  <c r="H35" i="1" s="1"/>
  <c r="F22" i="1"/>
  <c r="F33" i="1"/>
  <c r="H33" i="1" s="1"/>
  <c r="F32" i="1"/>
  <c r="H32" i="1" s="1"/>
  <c r="H29" i="1"/>
  <c r="I29" i="1" s="1"/>
  <c r="G29" i="1"/>
  <c r="F29" i="1"/>
  <c r="F28" i="1"/>
  <c r="C28" i="1"/>
  <c r="D28" i="1" s="1"/>
  <c r="E28" i="1" s="1"/>
  <c r="H27" i="1"/>
  <c r="I27" i="1" s="1"/>
  <c r="G27" i="1"/>
  <c r="D27" i="1"/>
  <c r="E27" i="1" s="1"/>
  <c r="H8" i="2"/>
  <c r="H5" i="2"/>
  <c r="H4" i="2"/>
  <c r="H3" i="2"/>
  <c r="E14" i="1"/>
  <c r="B9" i="1"/>
  <c r="F20" i="1" s="1"/>
  <c r="H20" i="1" s="1"/>
  <c r="I20" i="1" s="1"/>
  <c r="H22" i="1"/>
  <c r="G22" i="1" s="1"/>
  <c r="B11" i="1"/>
  <c r="F16" i="1" s="1"/>
  <c r="F19" i="1" s="1"/>
  <c r="F17" i="1" s="1"/>
  <c r="F18" i="1" s="1"/>
  <c r="H14" i="1"/>
  <c r="I14" i="1" s="1"/>
  <c r="F15" i="1"/>
  <c r="H15" i="1" s="1"/>
  <c r="I15" i="1" s="1"/>
  <c r="D14" i="1"/>
  <c r="C15" i="1"/>
  <c r="D15" i="1" s="1"/>
  <c r="G35" i="1" l="1"/>
  <c r="I35" i="1"/>
  <c r="H30" i="1"/>
  <c r="F31" i="1"/>
  <c r="H31" i="1" s="1"/>
  <c r="I32" i="1"/>
  <c r="G32" i="1"/>
  <c r="G33" i="1"/>
  <c r="I33" i="1"/>
  <c r="H28" i="1"/>
  <c r="C29" i="1"/>
  <c r="E15" i="1"/>
  <c r="C16" i="1"/>
  <c r="D16" i="1" s="1"/>
  <c r="E16" i="1" s="1"/>
  <c r="G15" i="1"/>
  <c r="G14" i="1"/>
  <c r="G20" i="1"/>
  <c r="I22" i="1"/>
  <c r="H16" i="1"/>
  <c r="G30" i="1" l="1"/>
  <c r="I30" i="1"/>
  <c r="I31" i="1"/>
  <c r="G31" i="1"/>
  <c r="I28" i="1"/>
  <c r="H34" i="1"/>
  <c r="G28" i="1"/>
  <c r="C30" i="1"/>
  <c r="D29" i="1"/>
  <c r="E29" i="1" s="1"/>
  <c r="I16" i="1"/>
  <c r="G16" i="1"/>
  <c r="H19" i="1"/>
  <c r="H18" i="1"/>
  <c r="D30" i="1" l="1"/>
  <c r="E30" i="1" s="1"/>
  <c r="C31" i="1"/>
  <c r="G34" i="1"/>
  <c r="F34" i="1"/>
  <c r="I34" i="1"/>
  <c r="H36" i="1"/>
  <c r="I18" i="1"/>
  <c r="G18" i="1"/>
  <c r="I19" i="1"/>
  <c r="G19" i="1"/>
  <c r="H17" i="1"/>
  <c r="H21" i="1" s="1"/>
  <c r="C17" i="1"/>
  <c r="G36" i="1" l="1"/>
  <c r="F36" i="1"/>
  <c r="I36" i="1"/>
  <c r="C32" i="1"/>
  <c r="D31" i="1"/>
  <c r="E31" i="1" s="1"/>
  <c r="I17" i="1"/>
  <c r="G17" i="1"/>
  <c r="G21" i="1"/>
  <c r="C18" i="1"/>
  <c r="D17" i="1"/>
  <c r="E17" i="1" s="1"/>
  <c r="D32" i="1" l="1"/>
  <c r="E32" i="1" s="1"/>
  <c r="C33" i="1"/>
  <c r="D33" i="1" s="1"/>
  <c r="E33" i="1" s="1"/>
  <c r="F21" i="1"/>
  <c r="I21" i="1"/>
  <c r="H23" i="1"/>
  <c r="G23" i="1" s="1"/>
  <c r="C19" i="1"/>
  <c r="D18" i="1"/>
  <c r="E18" i="1" s="1"/>
  <c r="D19" i="1" l="1"/>
  <c r="E19" i="1" s="1"/>
  <c r="C20" i="1"/>
  <c r="D20" i="1" s="1"/>
  <c r="E20" i="1" s="1"/>
  <c r="I23" i="1"/>
  <c r="F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tc={E2B6AAF7-D7F2-41B2-BC0F-44162A34E3C2}</author>
    <author>tc={C782EF7C-234D-4A58-A172-7955C6803B86}</author>
  </authors>
  <commentList>
    <comment ref="B9" authorId="0" shapeId="0" xr:uid="{E2B6AAF7-D7F2-41B2-BC0F-44162A34E3C2}">
      <text>
        <t>[Threaded comment]
Your version of Excel allows you to read this threaded comment; however, any edits to it will get removed if the file is opened in a newer version of Excel. Learn more: https://go.microsoft.com/fwlink/?linkid=870924
Comment:
    Must be multiple of size of 4 pages because write protection is in unit of 4 pages</t>
      </text>
    </comment>
    <comment ref="B11" authorId="1" shapeId="0" xr:uid="{C782EF7C-234D-4A58-A172-7955C6803B86}">
      <text>
        <t>[Threaded comment]
Your version of Excel allows you to read this threaded comment; however, any edits to it will get removed if the file is opened in a newer version of Excel. Learn more: https://go.microsoft.com/fwlink/?linkid=870924
Comment:
    Must be multiple of page size</t>
      </text>
    </comment>
  </commentList>
</comments>
</file>

<file path=xl/sharedStrings.xml><?xml version="1.0" encoding="utf-8"?>
<sst xmlns="http://schemas.openxmlformats.org/spreadsheetml/2006/main" count="719" uniqueCount="185">
  <si>
    <t>offset</t>
  </si>
  <si>
    <t>start</t>
  </si>
  <si>
    <t>BL2</t>
  </si>
  <si>
    <t>AREA ID</t>
  </si>
  <si>
    <t>FLASH_BASE</t>
  </si>
  <si>
    <t>PRIMARY_ONLY</t>
  </si>
  <si>
    <t>N</t>
  </si>
  <si>
    <t>OVERWRITE_ONLY</t>
  </si>
  <si>
    <t>SCRATCH</t>
  </si>
  <si>
    <t>SCRTACH</t>
  </si>
  <si>
    <t>LOADER</t>
  </si>
  <si>
    <t>Y</t>
  </si>
  <si>
    <t>App Active</t>
  </si>
  <si>
    <t>App Download</t>
  </si>
  <si>
    <t>Data Active</t>
  </si>
  <si>
    <t>Data Download</t>
  </si>
  <si>
    <t>Total size</t>
  </si>
  <si>
    <t>FLASH_SIZE</t>
  </si>
  <si>
    <t>DATA IMAGE SIZE</t>
  </si>
  <si>
    <t>FLASH PAGE SIZE</t>
  </si>
  <si>
    <t>LOADER SIZE</t>
  </si>
  <si>
    <t xml:space="preserve"> </t>
  </si>
  <si>
    <t>Total size Max</t>
  </si>
  <si>
    <t>size (B hex)</t>
  </si>
  <si>
    <t>size (B dec)</t>
  </si>
  <si>
    <t>Remaining free size</t>
  </si>
  <si>
    <t>size (KB)</t>
  </si>
  <si>
    <t>Area purpose</t>
  </si>
  <si>
    <t>BOOT project post build script</t>
  </si>
  <si>
    <t>Update target</t>
  </si>
  <si>
    <t>file</t>
  </si>
  <si>
    <t>Field</t>
  </si>
  <si>
    <t>Loader linker</t>
  </si>
  <si>
    <t>Source ref</t>
  </si>
  <si>
    <t>LOADER_CODE_SIZE</t>
  </si>
  <si>
    <t>BOOT project prebuild script</t>
  </si>
  <si>
    <t xml:space="preserve">From </t>
  </si>
  <si>
    <t>image_macros_to_preprocess_bl2.c</t>
  </si>
  <si>
    <t>To</t>
  </si>
  <si>
    <t>image_macros_preprocessed_bl2.c</t>
  </si>
  <si>
    <t>Field required by postbuild</t>
  </si>
  <si>
    <t>RE_LOADER_CODE_OFFSET</t>
  </si>
  <si>
    <t>RE_LOADER_WRP_END</t>
  </si>
  <si>
    <t>RE_LOADER_CODE_START</t>
  </si>
  <si>
    <t>RE_LOADER</t>
  </si>
  <si>
    <t>Notes</t>
  </si>
  <si>
    <t>Required for update of</t>
  </si>
  <si>
    <t>OB flash &amp; provisioning script ext_loader flag</t>
  </si>
  <si>
    <t>VECT_TAB_OFFSET</t>
  </si>
  <si>
    <t>LOADER_CODE_START</t>
  </si>
  <si>
    <t>RE_LOADER_CODE_SIZE</t>
  </si>
  <si>
    <t>Loader linker, ob_flash_prog script</t>
  </si>
  <si>
    <t>code size</t>
  </si>
  <si>
    <t>VTOR</t>
  </si>
  <si>
    <t>ob_flash_prog script</t>
  </si>
  <si>
    <t>loader wrp start, loader prog @</t>
  </si>
  <si>
    <t>ob_flash_programming.bat</t>
  </si>
  <si>
    <t>Provisioning script</t>
  </si>
  <si>
    <t>loaderaddress</t>
  </si>
  <si>
    <t>img_config.bat</t>
  </si>
  <si>
    <t>ext_loader</t>
  </si>
  <si>
    <t>WRP</t>
  </si>
  <si>
    <t>HDP</t>
  </si>
  <si>
    <t>Nb pages</t>
  </si>
  <si>
    <t>wrpgrp1</t>
  </si>
  <si>
    <t>RE_LOADER_WRP_START</t>
  </si>
  <si>
    <t>loader wrpgrp1 start</t>
  </si>
  <si>
    <t>loader wrpgrp1 end</t>
  </si>
  <si>
    <t>end</t>
  </si>
  <si>
    <t>Must be used if PRIMARY ONLY is Y</t>
  </si>
  <si>
    <t>DATA IMAGE SLOT</t>
  </si>
  <si>
    <t>UART Ymodem loader as example</t>
  </si>
  <si>
    <t>Must be multiple of page size (2000)</t>
  </si>
  <si>
    <t>App Active (Max)</t>
  </si>
  <si>
    <t>App Download (Max)</t>
  </si>
  <si>
    <t>RE_APP_IMAGE_NUMBER</t>
  </si>
  <si>
    <t>RE_APP_DATA_IMAGE_NUMBER</t>
  </si>
  <si>
    <t>app_image_number</t>
  </si>
  <si>
    <t>app_data_image_number</t>
  </si>
  <si>
    <t>RE_BL2_BOOT_ADDRESS</t>
  </si>
  <si>
    <t>bootob, bootaddress</t>
  </si>
  <si>
    <t>RE_BL2_WRP_START</t>
  </si>
  <si>
    <t>RE_BL2_WRP_END</t>
  </si>
  <si>
    <t>wrpgrp2</t>
  </si>
  <si>
    <t>RE_BL2_HDP_START</t>
  </si>
  <si>
    <t>RE_BL2_HDP_END</t>
  </si>
  <si>
    <t>hdp</t>
  </si>
  <si>
    <t>linker file</t>
  </si>
  <si>
    <t>main.h</t>
  </si>
  <si>
    <t>APP_CODE_OFFSET</t>
  </si>
  <si>
    <t>RE_AREA_0_OFFSET</t>
  </si>
  <si>
    <t>APP_CODE_SIZE</t>
  </si>
  <si>
    <t>RE_IMAGE_FLASH_APP_IMAGE_SIZE</t>
  </si>
  <si>
    <t xml:space="preserve">Loader </t>
  </si>
  <si>
    <t>Application</t>
  </si>
  <si>
    <t>FW area size (-S option)</t>
  </si>
  <si>
    <t>RE_ENCRYPTION</t>
  </si>
  <si>
    <t>RE_OVER_WRITE</t>
  </si>
  <si>
    <t>RE_FLASH_AREA_SCRATCH_SIZE</t>
  </si>
  <si>
    <t>Encryption link</t>
  </si>
  <si>
    <t>Write Option</t>
  </si>
  <si>
    <t>Number of scratch sectors (-M option)</t>
  </si>
  <si>
    <t>RE_IMAGE_FLASH_ADDRESS_APP</t>
  </si>
  <si>
    <t>RE_IMAGE_FLASH_ADDRESS_DATA</t>
  </si>
  <si>
    <t>RE_IMAGE_FLASH_DATA_IMAGE_SIZE</t>
  </si>
  <si>
    <t>Data area size (-S option)</t>
  </si>
  <si>
    <t>FW active area address</t>
  </si>
  <si>
    <r>
      <t xml:space="preserve">app code init xml (for </t>
    </r>
    <r>
      <rPr>
        <b/>
        <sz val="11"/>
        <color theme="1"/>
        <rFont val="Aptos Narrow"/>
        <family val="2"/>
        <scheme val="minor"/>
      </rPr>
      <t>init</t>
    </r>
    <r>
      <rPr>
        <sz val="11"/>
        <color theme="1"/>
        <rFont val="Aptos Narrow"/>
        <family val="2"/>
        <scheme val="minor"/>
      </rPr>
      <t xml:space="preserve"> hex image gen)</t>
    </r>
  </si>
  <si>
    <r>
      <t xml:space="preserve">app code xml (for </t>
    </r>
    <r>
      <rPr>
        <b/>
        <sz val="11"/>
        <color theme="1"/>
        <rFont val="Aptos Narrow"/>
        <family val="2"/>
        <scheme val="minor"/>
      </rPr>
      <t>update</t>
    </r>
    <r>
      <rPr>
        <sz val="11"/>
        <color theme="1"/>
        <rFont val="Aptos Narrow"/>
        <family val="2"/>
        <scheme val="minor"/>
      </rPr>
      <t xml:space="preserve"> binary image gen)</t>
    </r>
  </si>
  <si>
    <r>
      <t xml:space="preserve">data xml (for update </t>
    </r>
    <r>
      <rPr>
        <b/>
        <sz val="11"/>
        <color theme="1"/>
        <rFont val="Aptos Narrow"/>
        <family val="2"/>
        <scheme val="minor"/>
      </rPr>
      <t>binary</t>
    </r>
    <r>
      <rPr>
        <sz val="11"/>
        <color theme="1"/>
        <rFont val="Aptos Narrow"/>
        <family val="2"/>
        <scheme val="minor"/>
      </rPr>
      <t xml:space="preserve"> image gen)</t>
    </r>
  </si>
  <si>
    <r>
      <t xml:space="preserve">data init xml (for </t>
    </r>
    <r>
      <rPr>
        <b/>
        <sz val="11"/>
        <color theme="1"/>
        <rFont val="Aptos Narrow"/>
        <family val="2"/>
        <scheme val="minor"/>
      </rPr>
      <t>init</t>
    </r>
    <r>
      <rPr>
        <sz val="11"/>
        <color theme="1"/>
        <rFont val="Aptos Narrow"/>
        <family val="2"/>
        <scheme val="minor"/>
      </rPr>
      <t xml:space="preserve"> hex image gen)</t>
    </r>
  </si>
  <si>
    <t>appli_flash_layout.h</t>
  </si>
  <si>
    <t>MCUBOOT_OVERWRITE_ONLY</t>
  </si>
  <si>
    <t>MCUBOOT_APP_IMAGE_NUMBER</t>
  </si>
  <si>
    <t>MCUBOOT_S_DATA_IMAGE_NUMBER</t>
  </si>
  <si>
    <t>RE_S_DATA_IMAGE_NUMBER</t>
  </si>
  <si>
    <t>FLASH_AREA_0_OFFSET</t>
  </si>
  <si>
    <t>FLASH_AREA_0_SIZE</t>
  </si>
  <si>
    <t>RE_AREA_0_SIZE</t>
  </si>
  <si>
    <t>FLASH_AREA_2_OFFSET</t>
  </si>
  <si>
    <t>FLASH_AREA_2_SIZE</t>
  </si>
  <si>
    <t>RE_AREA_2_OFFSET</t>
  </si>
  <si>
    <t>RE_AREA_2_SIZE</t>
  </si>
  <si>
    <t>FLASH_AREA_4_OFFSET</t>
  </si>
  <si>
    <t>FLASH_AREA_4_SIZE</t>
  </si>
  <si>
    <t>RE_AREA_4_OFFSET</t>
  </si>
  <si>
    <t>RE_AREA_4_SIZE</t>
  </si>
  <si>
    <t>FLASH_AREA_6_OFFSET</t>
  </si>
  <si>
    <t>FLASH_AREA_6_SIZE</t>
  </si>
  <si>
    <t>RE_AREA_6_OFFSET</t>
  </si>
  <si>
    <t>RE_AREA_6_SIZE</t>
  </si>
  <si>
    <t>FLASH_PARTITION_SIZE</t>
  </si>
  <si>
    <t>FLASH_DATA_PARTITION_SIZE</t>
  </si>
  <si>
    <t>FLASH_B_SIZE</t>
  </si>
  <si>
    <t>RE_FLASH_B_SIZE</t>
  </si>
  <si>
    <t>Loader main.h</t>
  </si>
  <si>
    <t>App linker, App main.h, App app_flash_layout.h</t>
  </si>
  <si>
    <t>App code init xml</t>
  </si>
  <si>
    <t>Data init xml</t>
  </si>
  <si>
    <t>loader main.h, App main.h, App linker, app code/init xml</t>
  </si>
  <si>
    <t>data xml, data init xml</t>
  </si>
  <si>
    <t>ob flash programming script</t>
  </si>
  <si>
    <t>boot address ob, boot binary @</t>
  </si>
  <si>
    <t>wrp for BL2</t>
  </si>
  <si>
    <t>HDP for BL2</t>
  </si>
  <si>
    <t>nb of app images</t>
  </si>
  <si>
    <t>nb of data images</t>
  </si>
  <si>
    <t>whether loader is used</t>
  </si>
  <si>
    <t>App slot size</t>
  </si>
  <si>
    <t>App active slot address</t>
  </si>
  <si>
    <t>Data active slot address</t>
  </si>
  <si>
    <t>Data slot size</t>
  </si>
  <si>
    <t>Encryption support for update image</t>
  </si>
  <si>
    <t>Overwrite only flag</t>
  </si>
  <si>
    <t>App appli_flash_layout.h</t>
  </si>
  <si>
    <t>Scratch area size</t>
  </si>
  <si>
    <t>DATA image number</t>
  </si>
  <si>
    <t>App download slot address</t>
  </si>
  <si>
    <t>Data download slot address</t>
  </si>
  <si>
    <t>Flash bank size</t>
  </si>
  <si>
    <t>Test case</t>
  </si>
  <si>
    <t>EXT_LOADER</t>
  </si>
  <si>
    <t>DATA_IMAGE_NUMBER</t>
  </si>
  <si>
    <t>BOOT-&gt;Loader</t>
  </si>
  <si>
    <t>BOOT-&gt;App</t>
  </si>
  <si>
    <t>App-&gt;Loader</t>
  </si>
  <si>
    <t>App Update</t>
  </si>
  <si>
    <t>Data Update</t>
  </si>
  <si>
    <t>D</t>
  </si>
  <si>
    <t>ND</t>
  </si>
  <si>
    <t>OK</t>
  </si>
  <si>
    <t>NOK</t>
  </si>
  <si>
    <t>NA</t>
  </si>
  <si>
    <t>NT</t>
  </si>
  <si>
    <t>Provisioning</t>
  </si>
  <si>
    <t>IDE</t>
  </si>
  <si>
    <t>IAR</t>
  </si>
  <si>
    <t>KEIL</t>
  </si>
  <si>
    <t>CubeIDE</t>
  </si>
  <si>
    <t>Pre-step for each test cases:</t>
  </si>
  <si>
    <t>Delete signed Data images in Provisioning Binary folder</t>
  </si>
  <si>
    <t>Delete built materials of Boot, Loader, App in Binary folder</t>
  </si>
  <si>
    <t>Clean projects in IDE</t>
  </si>
  <si>
    <t>App confirm</t>
  </si>
  <si>
    <t>Data confirm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</si>
</sst>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1"/>
      <color rgb="FFCE9178"/>
      <name val="Consolas"/>
      <family val="3"/>
    </font>
    <font>
      <sz val="11"/>
      <color rgb="FF7030A0"/>
      <name val="Consolas"/>
      <family val="3"/>
    </font>
    <font>
      <sz val="11"/>
      <color rgb="FF7030A0"/>
      <name val="Aptos Narrow"/>
      <family val="2"/>
      <scheme val="minor"/>
    </font>
    <font>
      <sz val="11"/>
      <color rgb="FF00B050"/>
      <name val="Consolas"/>
      <family val="3"/>
    </font>
    <font>
      <sz val="11"/>
      <color rgb="FF00B050"/>
      <name val="Aptos Narrow"/>
      <family val="2"/>
      <scheme val="minor"/>
    </font>
    <font>
      <sz val="11"/>
      <color theme="5"/>
      <name val="Consolas"/>
      <family val="3"/>
    </font>
    <font>
      <sz val="11"/>
      <color theme="5" tint="-0.249977111117893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/>
    <xf numFmtId="0" fontId="0" fillId="0" borderId="5" xfId="0" applyBorder="1" applyAlignment="1">
      <alignment horizontal="left" vertical="center"/>
    </xf>
    <xf numFmtId="0" fontId="2" fillId="0" borderId="1" xfId="0" applyFont="1" applyBorder="1"/>
    <xf numFmtId="0" fontId="5" fillId="0" borderId="1" xfId="0" applyFont="1" applyBorder="1"/>
    <xf numFmtId="0" fontId="8" fillId="0" borderId="0" xfId="0" applyFont="1" applyAlignment="1">
      <alignment vertical="center"/>
    </xf>
    <xf numFmtId="0" fontId="9" fillId="0" borderId="1" xfId="0" applyFont="1" applyBorder="1"/>
    <xf numFmtId="0" fontId="10" fillId="0" borderId="1" xfId="0" applyFont="1" applyBorder="1"/>
    <xf numFmtId="0" fontId="10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3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1499679555650502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b/>
        <i val="0"/>
        <color theme="6"/>
      </font>
    </dxf>
    <dxf>
      <font>
        <b/>
        <i val="0"/>
        <color theme="6"/>
      </font>
    </dxf>
    <dxf>
      <font>
        <b/>
        <i val="0"/>
        <color rgb="FF00B0F0"/>
      </font>
    </dxf>
    <dxf>
      <font>
        <color theme="6"/>
      </font>
      <fill>
        <patternFill>
          <bgColor theme="6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rgb="FF0070C0"/>
      </font>
      <fill>
        <patternFill>
          <bgColor theme="3" tint="0.8999603259376811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unny CHEN" id="{2390A384-3AA0-4A70-A3FD-56E9548FD135}" userId="S::sunny.chen@st.com::a300bb7f-0dc8-4f82-8096-8f7ada5fd4f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9" dT="2026-02-02T06:26:47.24" personId="{2390A384-3AA0-4A70-A3FD-56E9548FD135}" id="{E2B6AAF7-D7F2-41B2-BC0F-44162A34E3C2}">
    <text>Must be multiple of size of 4 pages because write protection is in unit of 4 pages</text>
  </threadedComment>
  <threadedComment ref="B11" dT="2026-02-02T06:27:12.60" personId="{2390A384-3AA0-4A70-A3FD-56E9548FD135}" id="{C782EF7C-234D-4A58-A172-7955C6803B86}">
    <text>Must be multiple of page size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EE003-AB81-416D-8FF7-83C8B34AB91C}">
  <dimension ref="A1:L36"/>
  <sheetViews>
    <sheetView topLeftCell="A3" workbookViewId="0">
      <selection activeCell="K37" sqref="K37"/>
    </sheetView>
  </sheetViews>
  <sheetFormatPr defaultRowHeight="15" x14ac:dyDescent="0.25"/>
  <cols>
    <col min="1" max="1" width="19" bestFit="1" customWidth="1"/>
    <col min="6" max="6" width="11.28515625" bestFit="1" customWidth="1"/>
    <col min="7" max="7" width="8.7109375" bestFit="1" customWidth="1"/>
    <col min="8" max="8" width="11.28515625" bestFit="1" customWidth="1"/>
    <col min="9" max="9" width="9.28515625" bestFit="1" customWidth="1"/>
    <col min="10" max="10" width="5.28515625" bestFit="1" customWidth="1"/>
    <col min="11" max="11" width="5" bestFit="1" customWidth="1"/>
    <col min="12" max="12" width="5" customWidth="1"/>
    <col min="13" max="16" width="5.28515625" customWidth="1"/>
  </cols>
  <sheetData>
    <row r="1" spans="1:12" hidden="1" x14ac:dyDescent="0.25">
      <c r="B1" s="4" t="s">
        <v>11</v>
      </c>
    </row>
    <row r="2" spans="1:12" hidden="1" x14ac:dyDescent="0.25">
      <c r="B2" s="4" t="s">
        <v>6</v>
      </c>
    </row>
    <row r="3" spans="1:12" x14ac:dyDescent="0.25">
      <c r="A3" s="5" t="s">
        <v>4</v>
      </c>
      <c r="B3" s="6">
        <v>8000000</v>
      </c>
    </row>
    <row r="4" spans="1:12" x14ac:dyDescent="0.25">
      <c r="A4" s="5" t="s">
        <v>17</v>
      </c>
      <c r="B4" s="6">
        <v>200000</v>
      </c>
    </row>
    <row r="5" spans="1:12" x14ac:dyDescent="0.25">
      <c r="A5" s="5" t="s">
        <v>19</v>
      </c>
      <c r="B5" s="6">
        <v>2000</v>
      </c>
    </row>
    <row r="6" spans="1:12" x14ac:dyDescent="0.25">
      <c r="A6" t="s">
        <v>5</v>
      </c>
      <c r="B6" s="4" t="s">
        <v>6</v>
      </c>
    </row>
    <row r="7" spans="1:12" x14ac:dyDescent="0.25">
      <c r="A7" t="s">
        <v>7</v>
      </c>
      <c r="B7" s="4" t="s">
        <v>6</v>
      </c>
      <c r="C7" t="s">
        <v>69</v>
      </c>
    </row>
    <row r="8" spans="1:12" x14ac:dyDescent="0.25">
      <c r="A8" t="s">
        <v>10</v>
      </c>
      <c r="B8" s="4" t="s">
        <v>11</v>
      </c>
      <c r="C8" t="s">
        <v>71</v>
      </c>
    </row>
    <row r="9" spans="1:12" x14ac:dyDescent="0.25">
      <c r="A9" t="s">
        <v>20</v>
      </c>
      <c r="B9" s="1">
        <f>IF(($B$8="Y"),8000,0)</f>
        <v>8000</v>
      </c>
    </row>
    <row r="10" spans="1:12" x14ac:dyDescent="0.25">
      <c r="A10" t="s">
        <v>70</v>
      </c>
      <c r="B10" s="4" t="s">
        <v>11</v>
      </c>
    </row>
    <row r="11" spans="1:12" x14ac:dyDescent="0.25">
      <c r="A11" t="s">
        <v>18</v>
      </c>
      <c r="B11" s="4">
        <f>IF(($B$10="Y"),$B$5,0)</f>
        <v>2000</v>
      </c>
      <c r="C11" t="s">
        <v>72</v>
      </c>
    </row>
    <row r="12" spans="1:12" x14ac:dyDescent="0.25">
      <c r="B12" s="4"/>
    </row>
    <row r="13" spans="1:12" x14ac:dyDescent="0.25">
      <c r="A13" s="12" t="s">
        <v>27</v>
      </c>
      <c r="B13" s="7" t="s">
        <v>3</v>
      </c>
      <c r="C13" s="7" t="s">
        <v>0</v>
      </c>
      <c r="D13" s="7" t="s">
        <v>1</v>
      </c>
      <c r="E13" s="7" t="s">
        <v>68</v>
      </c>
      <c r="F13" s="7" t="s">
        <v>23</v>
      </c>
      <c r="G13" s="7" t="s">
        <v>26</v>
      </c>
      <c r="H13" s="7" t="s">
        <v>24</v>
      </c>
      <c r="I13" s="7" t="s">
        <v>63</v>
      </c>
      <c r="J13" s="12" t="s">
        <v>61</v>
      </c>
      <c r="K13" s="12" t="s">
        <v>62</v>
      </c>
      <c r="L13" s="6"/>
    </row>
    <row r="14" spans="1:12" x14ac:dyDescent="0.25">
      <c r="A14" s="8" t="s">
        <v>2</v>
      </c>
      <c r="B14" s="3" t="s">
        <v>2</v>
      </c>
      <c r="C14" s="3">
        <v>0</v>
      </c>
      <c r="D14" s="3" t="str">
        <f>DEC2HEX(HEX2DEC($B$3)+HEX2DEC(C14))</f>
        <v>8000000</v>
      </c>
      <c r="E14" s="3" t="str">
        <f>DEC2HEX(HEX2DEC(D14)+HEX2DEC(F14)-1)</f>
        <v>8017FFF</v>
      </c>
      <c r="F14" s="8">
        <v>18000</v>
      </c>
      <c r="G14" s="3">
        <f>H14/1024</f>
        <v>96</v>
      </c>
      <c r="H14" s="2">
        <f>HEX2DEC(F14)</f>
        <v>98304</v>
      </c>
      <c r="I14" s="14">
        <f>H14/HEX2DEC($B$5)</f>
        <v>12</v>
      </c>
      <c r="J14" s="14" t="s">
        <v>11</v>
      </c>
      <c r="K14" s="14" t="s">
        <v>11</v>
      </c>
      <c r="L14" s="4"/>
    </row>
    <row r="15" spans="1:12" x14ac:dyDescent="0.25">
      <c r="A15" s="8" t="s">
        <v>8</v>
      </c>
      <c r="B15" s="3" t="s">
        <v>9</v>
      </c>
      <c r="C15" s="3" t="str">
        <f>DEC2HEX(HEX2DEC(C14)+HEX2DEC(F14))</f>
        <v>18000</v>
      </c>
      <c r="D15" s="3" t="str">
        <f>DEC2HEX(HEX2DEC($B$3)+HEX2DEC(C15))</f>
        <v>8018000</v>
      </c>
      <c r="E15" s="3" t="str">
        <f t="shared" ref="E15:E20" si="0">DEC2HEX(HEX2DEC(D15)+HEX2DEC(F15)-1)</f>
        <v>8027FFF</v>
      </c>
      <c r="F15" s="3">
        <f>IF(($B$6="N"),IF($B$7="N",10000,0),0)</f>
        <v>10000</v>
      </c>
      <c r="G15" s="3">
        <f t="shared" ref="G15:G23" si="1">H15/1024</f>
        <v>64</v>
      </c>
      <c r="H15" s="2">
        <f t="shared" ref="H15:H19" si="2">HEX2DEC(F15)</f>
        <v>65536</v>
      </c>
      <c r="I15" s="14">
        <f t="shared" ref="I15:I19" si="3">H15/HEX2DEC($B$5)</f>
        <v>8</v>
      </c>
      <c r="J15" s="14" t="s">
        <v>6</v>
      </c>
      <c r="K15" s="14" t="s">
        <v>11</v>
      </c>
      <c r="L15" s="4"/>
    </row>
    <row r="16" spans="1:12" x14ac:dyDescent="0.25">
      <c r="A16" s="8" t="s">
        <v>14</v>
      </c>
      <c r="B16" s="3">
        <v>4</v>
      </c>
      <c r="C16" s="3" t="str">
        <f>DEC2HEX(HEX2DEC(C15)+HEX2DEC(F15))</f>
        <v>28000</v>
      </c>
      <c r="D16" s="3" t="str">
        <f>DEC2HEX(HEX2DEC($B$3)+HEX2DEC(C16))</f>
        <v>8028000</v>
      </c>
      <c r="E16" s="3" t="str">
        <f t="shared" si="0"/>
        <v>8029FFF</v>
      </c>
      <c r="F16" s="3">
        <f>$B$11</f>
        <v>2000</v>
      </c>
      <c r="G16" s="3">
        <f t="shared" si="1"/>
        <v>8</v>
      </c>
      <c r="H16" s="2">
        <f t="shared" si="2"/>
        <v>8192</v>
      </c>
      <c r="I16" s="14">
        <f t="shared" si="3"/>
        <v>1</v>
      </c>
      <c r="J16" s="14" t="s">
        <v>6</v>
      </c>
      <c r="K16" s="14" t="s">
        <v>6</v>
      </c>
      <c r="L16" s="4"/>
    </row>
    <row r="17" spans="1:12" x14ac:dyDescent="0.25">
      <c r="A17" s="8" t="s">
        <v>73</v>
      </c>
      <c r="B17" s="3">
        <v>0</v>
      </c>
      <c r="C17" s="3" t="str">
        <f t="shared" ref="C17:C19" si="4">DEC2HEX(HEX2DEC(C16)+HEX2DEC(F16))</f>
        <v>2A000</v>
      </c>
      <c r="D17" s="3" t="str">
        <f t="shared" ref="D17:D19" si="5">DEC2HEX(HEX2DEC($B$3)+HEX2DEC(C17))</f>
        <v>802A000</v>
      </c>
      <c r="E17" s="3" t="str">
        <f t="shared" si="0"/>
        <v>810FFFF</v>
      </c>
      <c r="F17" s="18" t="str">
        <f>DEC2HEX(IF($B$6="N",ROUNDDOWN((HEX2DEC(B4)-HEX2DEC(F14)-HEX2DEC(F15)-HEX2DEC(F20)-HEX2DEC(F16)-HEX2DEC(F19))/2/HEX2DEC($B$5),0)*HEX2DEC($B$5),(HEX2DEC(B4)-HEX2DEC(F14)-HEX2DEC(F15)-HEX2DEC(F20)-HEX2DEC(F16)-HEX2DEC(F19))))</f>
        <v>E6000</v>
      </c>
      <c r="G17" s="3">
        <f t="shared" si="1"/>
        <v>920</v>
      </c>
      <c r="H17" s="2">
        <f t="shared" si="2"/>
        <v>942080</v>
      </c>
      <c r="I17" s="14">
        <f t="shared" si="3"/>
        <v>115</v>
      </c>
      <c r="J17" s="14" t="s">
        <v>6</v>
      </c>
      <c r="K17" s="14" t="s">
        <v>6</v>
      </c>
      <c r="L17" s="4"/>
    </row>
    <row r="18" spans="1:12" x14ac:dyDescent="0.25">
      <c r="A18" s="8" t="s">
        <v>74</v>
      </c>
      <c r="B18" s="3">
        <v>2</v>
      </c>
      <c r="C18" s="3" t="str">
        <f t="shared" si="4"/>
        <v>110000</v>
      </c>
      <c r="D18" s="3" t="str">
        <f t="shared" si="5"/>
        <v>8110000</v>
      </c>
      <c r="E18" s="3" t="str">
        <f t="shared" si="0"/>
        <v>81F5FFF</v>
      </c>
      <c r="F18" s="18" t="str">
        <f>IF($B$6="N",F17,0)</f>
        <v>E6000</v>
      </c>
      <c r="G18" s="3">
        <f t="shared" si="1"/>
        <v>920</v>
      </c>
      <c r="H18" s="2">
        <f t="shared" si="2"/>
        <v>942080</v>
      </c>
      <c r="I18" s="14">
        <f t="shared" si="3"/>
        <v>115</v>
      </c>
      <c r="J18" s="14" t="s">
        <v>6</v>
      </c>
      <c r="K18" s="14" t="s">
        <v>6</v>
      </c>
      <c r="L18" s="4"/>
    </row>
    <row r="19" spans="1:12" x14ac:dyDescent="0.25">
      <c r="A19" s="8" t="s">
        <v>15</v>
      </c>
      <c r="B19" s="3">
        <v>6</v>
      </c>
      <c r="C19" s="3" t="str">
        <f t="shared" si="4"/>
        <v>1F6000</v>
      </c>
      <c r="D19" s="3" t="str">
        <f t="shared" si="5"/>
        <v>81F6000</v>
      </c>
      <c r="E19" s="3" t="str">
        <f t="shared" si="0"/>
        <v>81F7FFF</v>
      </c>
      <c r="F19" s="3">
        <f>IF($B$10="Y",F16,0)</f>
        <v>2000</v>
      </c>
      <c r="G19" s="3">
        <f t="shared" si="1"/>
        <v>8</v>
      </c>
      <c r="H19" s="2">
        <f t="shared" si="2"/>
        <v>8192</v>
      </c>
      <c r="I19" s="14">
        <f t="shared" si="3"/>
        <v>1</v>
      </c>
      <c r="J19" s="14" t="s">
        <v>6</v>
      </c>
      <c r="K19" s="14" t="s">
        <v>6</v>
      </c>
      <c r="L19" s="4"/>
    </row>
    <row r="20" spans="1:12" x14ac:dyDescent="0.25">
      <c r="A20" s="8" t="s">
        <v>10</v>
      </c>
      <c r="B20" s="3" t="s">
        <v>10</v>
      </c>
      <c r="C20" s="3" t="str">
        <f>DEC2HEX(HEX2DEC(C19)+HEX2DEC(F19))</f>
        <v>1F8000</v>
      </c>
      <c r="D20" s="3" t="str">
        <f>DEC2HEX(HEX2DEC($B$3)+HEX2DEC(C20))</f>
        <v>81F8000</v>
      </c>
      <c r="E20" s="3" t="str">
        <f t="shared" si="0"/>
        <v>81FFFFF</v>
      </c>
      <c r="F20" s="8">
        <f>$B$9</f>
        <v>8000</v>
      </c>
      <c r="G20" s="3">
        <f>H20/1024</f>
        <v>32</v>
      </c>
      <c r="H20" s="2">
        <f>HEX2DEC(F20)</f>
        <v>32768</v>
      </c>
      <c r="I20" s="14">
        <f>H20/HEX2DEC($B$5)</f>
        <v>4</v>
      </c>
      <c r="J20" s="14" t="s">
        <v>11</v>
      </c>
      <c r="K20" s="14" t="s">
        <v>6</v>
      </c>
      <c r="L20" s="4"/>
    </row>
    <row r="21" spans="1:12" x14ac:dyDescent="0.25">
      <c r="A21" s="1" t="s">
        <v>16</v>
      </c>
      <c r="B21" s="1"/>
      <c r="C21" s="1"/>
      <c r="D21" s="1"/>
      <c r="E21" s="1"/>
      <c r="F21" s="10" t="str">
        <f>DEC2HEX(H21)</f>
        <v>200000</v>
      </c>
      <c r="G21" s="1">
        <f t="shared" si="1"/>
        <v>2048</v>
      </c>
      <c r="H21" s="11">
        <f>SUM(H14:H20)</f>
        <v>2097152</v>
      </c>
      <c r="I21">
        <f>H21/HEX2DEC($B$5)</f>
        <v>256</v>
      </c>
    </row>
    <row r="22" spans="1:12" x14ac:dyDescent="0.25">
      <c r="A22" s="9" t="s">
        <v>22</v>
      </c>
      <c r="B22" t="s">
        <v>21</v>
      </c>
      <c r="F22" s="11">
        <f>$B$4</f>
        <v>200000</v>
      </c>
      <c r="G22" s="1">
        <f t="shared" si="1"/>
        <v>2048</v>
      </c>
      <c r="H22" s="11">
        <f>HEX2DEC(F22)</f>
        <v>2097152</v>
      </c>
      <c r="I22">
        <f t="shared" ref="I22:I23" si="6">H22/HEX2DEC($B$5)</f>
        <v>256</v>
      </c>
    </row>
    <row r="23" spans="1:12" x14ac:dyDescent="0.25">
      <c r="A23" s="9" t="s">
        <v>25</v>
      </c>
      <c r="F23" s="11" t="str">
        <f>DEC2HEX(H23)</f>
        <v>0</v>
      </c>
      <c r="G23" s="1">
        <f t="shared" si="1"/>
        <v>0</v>
      </c>
      <c r="H23" s="11">
        <f>H22-H21</f>
        <v>0</v>
      </c>
      <c r="I23">
        <f t="shared" si="6"/>
        <v>0</v>
      </c>
    </row>
    <row r="26" spans="1:12" x14ac:dyDescent="0.25">
      <c r="A26" s="12" t="s">
        <v>27</v>
      </c>
      <c r="B26" s="7" t="s">
        <v>3</v>
      </c>
      <c r="C26" s="7" t="s">
        <v>0</v>
      </c>
      <c r="D26" s="7" t="s">
        <v>1</v>
      </c>
      <c r="E26" s="7" t="s">
        <v>68</v>
      </c>
      <c r="F26" s="7" t="s">
        <v>23</v>
      </c>
      <c r="G26" s="7" t="s">
        <v>26</v>
      </c>
      <c r="H26" s="7" t="s">
        <v>24</v>
      </c>
      <c r="I26" s="7" t="s">
        <v>63</v>
      </c>
      <c r="J26" s="12" t="s">
        <v>61</v>
      </c>
      <c r="K26" s="12" t="s">
        <v>62</v>
      </c>
    </row>
    <row r="27" spans="1:12" x14ac:dyDescent="0.25">
      <c r="A27" s="8" t="s">
        <v>2</v>
      </c>
      <c r="B27" s="3" t="s">
        <v>2</v>
      </c>
      <c r="C27" s="3">
        <v>0</v>
      </c>
      <c r="D27" s="3" t="str">
        <f>DEC2HEX(HEX2DEC($B$3)+HEX2DEC(C27))</f>
        <v>8000000</v>
      </c>
      <c r="E27" s="3" t="str">
        <f>DEC2HEX(HEX2DEC(D27)+HEX2DEC(F27)-1)</f>
        <v>8017FFF</v>
      </c>
      <c r="F27" s="8">
        <v>18000</v>
      </c>
      <c r="G27" s="3">
        <f>H27/1024</f>
        <v>96</v>
      </c>
      <c r="H27" s="2">
        <f>HEX2DEC(F27)</f>
        <v>98304</v>
      </c>
      <c r="I27" s="14">
        <f>H27/HEX2DEC($B$5)</f>
        <v>12</v>
      </c>
      <c r="J27" s="14" t="s">
        <v>11</v>
      </c>
      <c r="K27" s="14" t="s">
        <v>11</v>
      </c>
    </row>
    <row r="28" spans="1:12" x14ac:dyDescent="0.25">
      <c r="A28" s="8" t="s">
        <v>8</v>
      </c>
      <c r="B28" s="3" t="s">
        <v>9</v>
      </c>
      <c r="C28" s="3" t="str">
        <f>DEC2HEX(HEX2DEC(C27)+HEX2DEC(F27))</f>
        <v>18000</v>
      </c>
      <c r="D28" s="3" t="str">
        <f>DEC2HEX(HEX2DEC($B$3)+HEX2DEC(C28))</f>
        <v>8018000</v>
      </c>
      <c r="E28" s="3" t="str">
        <f t="shared" ref="E28:E33" si="7">DEC2HEX(HEX2DEC(D28)+HEX2DEC(F28)-1)</f>
        <v>8027FFF</v>
      </c>
      <c r="F28" s="3">
        <f>IF(($B$6="N"),IF($B$7="N",10000,0),0)</f>
        <v>10000</v>
      </c>
      <c r="G28" s="3">
        <f t="shared" ref="G28:G36" si="8">H28/1024</f>
        <v>64</v>
      </c>
      <c r="H28" s="2">
        <f t="shared" ref="H28:H32" si="9">HEX2DEC(F28)</f>
        <v>65536</v>
      </c>
      <c r="I28" s="14">
        <f t="shared" ref="I28:I32" si="10">H28/HEX2DEC($B$5)</f>
        <v>8</v>
      </c>
      <c r="J28" s="14" t="s">
        <v>6</v>
      </c>
      <c r="K28" s="14" t="s">
        <v>11</v>
      </c>
    </row>
    <row r="29" spans="1:12" x14ac:dyDescent="0.25">
      <c r="A29" s="8" t="s">
        <v>14</v>
      </c>
      <c r="B29" s="3">
        <v>4</v>
      </c>
      <c r="C29" s="3" t="str">
        <f>DEC2HEX(HEX2DEC(C28)+HEX2DEC(F28))</f>
        <v>28000</v>
      </c>
      <c r="D29" s="3" t="str">
        <f>DEC2HEX(HEX2DEC($B$3)+HEX2DEC(C29))</f>
        <v>8028000</v>
      </c>
      <c r="E29" s="3" t="str">
        <f t="shared" si="7"/>
        <v>8029FFF</v>
      </c>
      <c r="F29" s="3">
        <f>$B$11</f>
        <v>2000</v>
      </c>
      <c r="G29" s="3">
        <f t="shared" si="8"/>
        <v>8</v>
      </c>
      <c r="H29" s="2">
        <f t="shared" si="9"/>
        <v>8192</v>
      </c>
      <c r="I29" s="14">
        <f t="shared" si="10"/>
        <v>1</v>
      </c>
      <c r="J29" s="14" t="s">
        <v>6</v>
      </c>
      <c r="K29" s="14" t="s">
        <v>6</v>
      </c>
    </row>
    <row r="30" spans="1:12" x14ac:dyDescent="0.25">
      <c r="A30" s="8" t="s">
        <v>12</v>
      </c>
      <c r="B30" s="3">
        <v>0</v>
      </c>
      <c r="C30" s="3" t="str">
        <f t="shared" ref="C30:C32" si="11">DEC2HEX(HEX2DEC(C29)+HEX2DEC(F29))</f>
        <v>2A000</v>
      </c>
      <c r="D30" s="3" t="str">
        <f t="shared" ref="D30:D32" si="12">DEC2HEX(HEX2DEC($B$3)+HEX2DEC(C30))</f>
        <v>802A000</v>
      </c>
      <c r="E30" s="3" t="str">
        <f t="shared" si="7"/>
        <v>803FFFF</v>
      </c>
      <c r="F30" s="19">
        <v>16000</v>
      </c>
      <c r="G30" s="3">
        <f t="shared" si="8"/>
        <v>88</v>
      </c>
      <c r="H30" s="2">
        <f t="shared" si="9"/>
        <v>90112</v>
      </c>
      <c r="I30" s="14">
        <f t="shared" si="10"/>
        <v>11</v>
      </c>
      <c r="J30" s="14" t="s">
        <v>6</v>
      </c>
      <c r="K30" s="14" t="s">
        <v>6</v>
      </c>
    </row>
    <row r="31" spans="1:12" x14ac:dyDescent="0.25">
      <c r="A31" s="8" t="s">
        <v>13</v>
      </c>
      <c r="B31" s="3">
        <v>2</v>
      </c>
      <c r="C31" s="3" t="str">
        <f t="shared" si="11"/>
        <v>40000</v>
      </c>
      <c r="D31" s="3" t="str">
        <f t="shared" si="12"/>
        <v>8040000</v>
      </c>
      <c r="E31" s="3" t="str">
        <f t="shared" si="7"/>
        <v>8055FFF</v>
      </c>
      <c r="F31" s="19">
        <f>IF($B$6="N",F30,0)</f>
        <v>16000</v>
      </c>
      <c r="G31" s="3">
        <f t="shared" si="8"/>
        <v>88</v>
      </c>
      <c r="H31" s="2">
        <f t="shared" si="9"/>
        <v>90112</v>
      </c>
      <c r="I31" s="14">
        <f t="shared" si="10"/>
        <v>11</v>
      </c>
      <c r="J31" s="14" t="s">
        <v>6</v>
      </c>
      <c r="K31" s="14" t="s">
        <v>6</v>
      </c>
    </row>
    <row r="32" spans="1:12" x14ac:dyDescent="0.25">
      <c r="A32" s="8" t="s">
        <v>15</v>
      </c>
      <c r="B32" s="3">
        <v>6</v>
      </c>
      <c r="C32" s="3" t="str">
        <f t="shared" si="11"/>
        <v>56000</v>
      </c>
      <c r="D32" s="3" t="str">
        <f t="shared" si="12"/>
        <v>8056000</v>
      </c>
      <c r="E32" s="3" t="str">
        <f t="shared" si="7"/>
        <v>8057FFF</v>
      </c>
      <c r="F32" s="3">
        <f>IF($B$10="Y",F29,0)</f>
        <v>2000</v>
      </c>
      <c r="G32" s="3">
        <f t="shared" si="8"/>
        <v>8</v>
      </c>
      <c r="H32" s="2">
        <f t="shared" si="9"/>
        <v>8192</v>
      </c>
      <c r="I32" s="14">
        <f t="shared" si="10"/>
        <v>1</v>
      </c>
      <c r="J32" s="14" t="s">
        <v>6</v>
      </c>
      <c r="K32" s="14" t="s">
        <v>6</v>
      </c>
    </row>
    <row r="33" spans="1:11" x14ac:dyDescent="0.25">
      <c r="A33" s="8" t="s">
        <v>10</v>
      </c>
      <c r="B33" s="3" t="s">
        <v>10</v>
      </c>
      <c r="C33" s="3" t="str">
        <f>DEC2HEX(HEX2DEC(C32)+HEX2DEC(F32))</f>
        <v>58000</v>
      </c>
      <c r="D33" s="3" t="str">
        <f>DEC2HEX(HEX2DEC($B$3)+HEX2DEC(C33))</f>
        <v>8058000</v>
      </c>
      <c r="E33" s="3" t="str">
        <f t="shared" si="7"/>
        <v>805FFFF</v>
      </c>
      <c r="F33" s="8">
        <f>$B$9</f>
        <v>8000</v>
      </c>
      <c r="G33" s="3">
        <f>H33/1024</f>
        <v>32</v>
      </c>
      <c r="H33" s="2">
        <f>HEX2DEC(F33)</f>
        <v>32768</v>
      </c>
      <c r="I33" s="14">
        <f>H33/HEX2DEC($B$5)</f>
        <v>4</v>
      </c>
      <c r="J33" s="14" t="s">
        <v>11</v>
      </c>
      <c r="K33" s="14" t="s">
        <v>6</v>
      </c>
    </row>
    <row r="34" spans="1:11" x14ac:dyDescent="0.25">
      <c r="A34" s="1" t="s">
        <v>16</v>
      </c>
      <c r="B34" s="1"/>
      <c r="C34" s="1"/>
      <c r="D34" s="1"/>
      <c r="E34" s="1"/>
      <c r="F34" s="10" t="str">
        <f>DEC2HEX(H34)</f>
        <v>60000</v>
      </c>
      <c r="G34" s="1">
        <f t="shared" si="8"/>
        <v>384</v>
      </c>
      <c r="H34" s="11">
        <f>SUM(H27:H33)</f>
        <v>393216</v>
      </c>
      <c r="I34">
        <f>H34/HEX2DEC($B$5)</f>
        <v>48</v>
      </c>
    </row>
    <row r="35" spans="1:11" x14ac:dyDescent="0.25">
      <c r="A35" s="9" t="s">
        <v>22</v>
      </c>
      <c r="B35" t="s">
        <v>21</v>
      </c>
      <c r="F35" s="11">
        <f>$B$4</f>
        <v>200000</v>
      </c>
      <c r="G35" s="1">
        <f t="shared" si="8"/>
        <v>2048</v>
      </c>
      <c r="H35" s="11">
        <f>HEX2DEC(F35)</f>
        <v>2097152</v>
      </c>
      <c r="I35">
        <f t="shared" ref="I35:I36" si="13">H35/HEX2DEC($B$5)</f>
        <v>256</v>
      </c>
    </row>
    <row r="36" spans="1:11" x14ac:dyDescent="0.25">
      <c r="A36" s="9" t="s">
        <v>25</v>
      </c>
      <c r="F36" s="11" t="str">
        <f>DEC2HEX(H36)</f>
        <v>1A0000</v>
      </c>
      <c r="G36" s="1">
        <f t="shared" si="8"/>
        <v>1664</v>
      </c>
      <c r="H36" s="11">
        <f>H35-H34</f>
        <v>1703936</v>
      </c>
      <c r="I36">
        <f t="shared" si="13"/>
        <v>208</v>
      </c>
    </row>
  </sheetData>
  <conditionalFormatting sqref="B6:B8 B10">
    <cfRule type="cellIs" dxfId="16" priority="5" operator="equal">
      <formula>"Y"</formula>
    </cfRule>
    <cfRule type="cellIs" dxfId="15" priority="6" operator="equal">
      <formula>"N"</formula>
    </cfRule>
  </conditionalFormatting>
  <conditionalFormatting sqref="J27:K33">
    <cfRule type="cellIs" dxfId="14" priority="1" operator="equal">
      <formula>"N"</formula>
    </cfRule>
    <cfRule type="cellIs" dxfId="13" priority="2" operator="equal">
      <formula>"Y"</formula>
    </cfRule>
  </conditionalFormatting>
  <conditionalFormatting sqref="J14:L20">
    <cfRule type="cellIs" dxfId="12" priority="3" operator="equal">
      <formula>"N"</formula>
    </cfRule>
    <cfRule type="cellIs" dxfId="11" priority="4" operator="equal">
      <formula>"Y"</formula>
    </cfRule>
  </conditionalFormatting>
  <dataValidations count="2">
    <dataValidation type="list" allowBlank="1" showInputMessage="1" showErrorMessage="1" sqref="B6:B8 B10 J14:L20 J27:K33" xr:uid="{EBA8029F-00D4-49E4-8B84-75C1EA9F44E8}">
      <formula1>$B$1:$B$2</formula1>
    </dataValidation>
    <dataValidation type="decimal" operator="lessThanOrEqual" allowBlank="1" showInputMessage="1" showErrorMessage="1" errorTitle="Error" error="Total size consumed cannot exceed total user flash size!" sqref="H21 H34" xr:uid="{1D140836-F0E9-4E03-84AE-026A1CDC9976}">
      <formula1>H22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97D97-B7AB-4B6E-A748-8501DA74A541}">
  <dimension ref="A1:H49"/>
  <sheetViews>
    <sheetView workbookViewId="0">
      <selection activeCell="C41" sqref="C41"/>
    </sheetView>
  </sheetViews>
  <sheetFormatPr defaultRowHeight="15" x14ac:dyDescent="0.25"/>
  <cols>
    <col min="1" max="1" width="35" bestFit="1" customWidth="1"/>
    <col min="2" max="2" width="52.140625" bestFit="1" customWidth="1"/>
    <col min="3" max="3" width="33.5703125" bestFit="1" customWidth="1"/>
    <col min="4" max="4" width="2.140625" customWidth="1"/>
    <col min="5" max="5" width="28.42578125" bestFit="1" customWidth="1"/>
    <col min="6" max="6" width="40" bestFit="1" customWidth="1"/>
    <col min="7" max="7" width="35.28515625" bestFit="1" customWidth="1"/>
    <col min="8" max="8" width="32.7109375" bestFit="1" customWidth="1"/>
    <col min="9" max="9" width="25.28515625" bestFit="1" customWidth="1"/>
    <col min="10" max="10" width="20" bestFit="1" customWidth="1"/>
    <col min="11" max="11" width="24.28515625" bestFit="1" customWidth="1"/>
  </cols>
  <sheetData>
    <row r="1" spans="1:8" x14ac:dyDescent="0.25">
      <c r="A1" s="5" t="s">
        <v>35</v>
      </c>
      <c r="E1" s="5" t="s">
        <v>28</v>
      </c>
    </row>
    <row r="2" spans="1:8" x14ac:dyDescent="0.25">
      <c r="A2" t="s">
        <v>36</v>
      </c>
      <c r="B2" t="s">
        <v>37</v>
      </c>
      <c r="E2" s="15" t="s">
        <v>29</v>
      </c>
      <c r="F2" s="15" t="s">
        <v>30</v>
      </c>
      <c r="G2" s="15" t="s">
        <v>31</v>
      </c>
      <c r="H2" s="15" t="s">
        <v>33</v>
      </c>
    </row>
    <row r="3" spans="1:8" x14ac:dyDescent="0.25">
      <c r="A3" t="s">
        <v>38</v>
      </c>
      <c r="B3" t="s">
        <v>39</v>
      </c>
      <c r="E3" s="40" t="s">
        <v>93</v>
      </c>
      <c r="F3" s="37" t="s">
        <v>87</v>
      </c>
      <c r="G3" s="16" t="s">
        <v>49</v>
      </c>
      <c r="H3" s="21" t="str">
        <f>A6</f>
        <v>RE_LOADER_CODE_START</v>
      </c>
    </row>
    <row r="4" spans="1:8" x14ac:dyDescent="0.25">
      <c r="A4" s="5" t="s">
        <v>40</v>
      </c>
      <c r="B4" s="5" t="s">
        <v>46</v>
      </c>
      <c r="C4" s="5" t="s">
        <v>45</v>
      </c>
      <c r="E4" s="41"/>
      <c r="F4" s="39"/>
      <c r="G4" s="16" t="s">
        <v>34</v>
      </c>
      <c r="H4" s="21" t="str">
        <f>A7</f>
        <v>RE_LOADER_CODE_SIZE</v>
      </c>
    </row>
    <row r="5" spans="1:8" x14ac:dyDescent="0.25">
      <c r="A5" s="17" t="s">
        <v>41</v>
      </c>
      <c r="B5" t="s">
        <v>135</v>
      </c>
      <c r="C5" t="s">
        <v>53</v>
      </c>
      <c r="E5" s="41"/>
      <c r="F5" s="37" t="s">
        <v>88</v>
      </c>
      <c r="G5" s="16" t="s">
        <v>48</v>
      </c>
      <c r="H5" s="21" t="str">
        <f>A5</f>
        <v>RE_LOADER_CODE_OFFSET</v>
      </c>
    </row>
    <row r="6" spans="1:8" x14ac:dyDescent="0.25">
      <c r="A6" s="17" t="s">
        <v>43</v>
      </c>
      <c r="B6" s="13" t="s">
        <v>51</v>
      </c>
      <c r="C6" t="s">
        <v>55</v>
      </c>
      <c r="E6" s="41"/>
      <c r="F6" s="38"/>
      <c r="G6" s="16" t="s">
        <v>89</v>
      </c>
      <c r="H6" s="23" t="str">
        <f>A14</f>
        <v>RE_AREA_0_OFFSET</v>
      </c>
    </row>
    <row r="7" spans="1:8" x14ac:dyDescent="0.25">
      <c r="A7" s="17" t="s">
        <v>50</v>
      </c>
      <c r="B7" t="s">
        <v>32</v>
      </c>
      <c r="C7" t="s">
        <v>52</v>
      </c>
      <c r="E7" s="42"/>
      <c r="F7" s="39"/>
      <c r="G7" s="2" t="s">
        <v>91</v>
      </c>
      <c r="H7" s="29" t="str">
        <f>A13</f>
        <v>RE_IMAGE_FLASH_APP_IMAGE_SIZE</v>
      </c>
    </row>
    <row r="8" spans="1:8" x14ac:dyDescent="0.25">
      <c r="A8" s="17" t="s">
        <v>65</v>
      </c>
      <c r="B8" t="s">
        <v>54</v>
      </c>
      <c r="C8" t="s">
        <v>66</v>
      </c>
      <c r="E8" s="40" t="s">
        <v>57</v>
      </c>
      <c r="F8" s="37" t="s">
        <v>59</v>
      </c>
      <c r="G8" s="16" t="s">
        <v>60</v>
      </c>
      <c r="H8" s="21" t="str">
        <f>A10</f>
        <v>RE_LOADER</v>
      </c>
    </row>
    <row r="9" spans="1:8" x14ac:dyDescent="0.25">
      <c r="A9" s="17" t="s">
        <v>42</v>
      </c>
      <c r="B9" t="s">
        <v>54</v>
      </c>
      <c r="C9" t="s">
        <v>67</v>
      </c>
      <c r="E9" s="41"/>
      <c r="F9" s="38"/>
      <c r="G9" s="16" t="s">
        <v>77</v>
      </c>
      <c r="H9" s="23" t="str">
        <f>A11</f>
        <v>RE_APP_IMAGE_NUMBER</v>
      </c>
    </row>
    <row r="10" spans="1:8" x14ac:dyDescent="0.25">
      <c r="A10" s="17" t="s">
        <v>44</v>
      </c>
      <c r="B10" t="s">
        <v>47</v>
      </c>
      <c r="C10" t="s">
        <v>147</v>
      </c>
      <c r="E10" s="41"/>
      <c r="F10" s="39"/>
      <c r="G10" s="16" t="s">
        <v>78</v>
      </c>
      <c r="H10" s="23" t="str">
        <f>A12</f>
        <v>RE_APP_DATA_IMAGE_NUMBER</v>
      </c>
    </row>
    <row r="11" spans="1:8" x14ac:dyDescent="0.25">
      <c r="A11" s="22" t="s">
        <v>75</v>
      </c>
      <c r="B11" t="s">
        <v>59</v>
      </c>
      <c r="C11" t="s">
        <v>145</v>
      </c>
      <c r="E11" s="41"/>
      <c r="F11" s="37" t="s">
        <v>56</v>
      </c>
      <c r="G11" s="16" t="s">
        <v>80</v>
      </c>
      <c r="H11" s="25" t="str">
        <f>A18</f>
        <v>RE_BL2_BOOT_ADDRESS</v>
      </c>
    </row>
    <row r="12" spans="1:8" x14ac:dyDescent="0.25">
      <c r="A12" s="22" t="s">
        <v>76</v>
      </c>
      <c r="B12" t="s">
        <v>59</v>
      </c>
      <c r="C12" t="s">
        <v>146</v>
      </c>
      <c r="E12" s="41"/>
      <c r="F12" s="38"/>
      <c r="G12" s="35" t="s">
        <v>64</v>
      </c>
      <c r="H12" s="25" t="str">
        <f>A19</f>
        <v>RE_BL2_WRP_START</v>
      </c>
    </row>
    <row r="13" spans="1:8" x14ac:dyDescent="0.25">
      <c r="A13" s="22" t="s">
        <v>92</v>
      </c>
      <c r="B13" t="s">
        <v>139</v>
      </c>
      <c r="C13" t="s">
        <v>148</v>
      </c>
      <c r="E13" s="41"/>
      <c r="F13" s="38"/>
      <c r="G13" s="36"/>
      <c r="H13" s="25" t="str">
        <f>A20</f>
        <v>RE_BL2_WRP_END</v>
      </c>
    </row>
    <row r="14" spans="1:8" x14ac:dyDescent="0.25">
      <c r="A14" s="22" t="s">
        <v>90</v>
      </c>
      <c r="B14" t="s">
        <v>136</v>
      </c>
      <c r="C14" t="s">
        <v>149</v>
      </c>
      <c r="E14" s="41"/>
      <c r="F14" s="38"/>
      <c r="G14" s="35" t="s">
        <v>83</v>
      </c>
      <c r="H14" s="21" t="str">
        <f>A8</f>
        <v>RE_LOADER_WRP_START</v>
      </c>
    </row>
    <row r="15" spans="1:8" x14ac:dyDescent="0.25">
      <c r="A15" s="22" t="s">
        <v>102</v>
      </c>
      <c r="B15" t="s">
        <v>137</v>
      </c>
      <c r="C15" t="s">
        <v>149</v>
      </c>
      <c r="E15" s="41"/>
      <c r="F15" s="38"/>
      <c r="G15" s="36"/>
      <c r="H15" s="21" t="str">
        <f>A9</f>
        <v>RE_LOADER_WRP_END</v>
      </c>
    </row>
    <row r="16" spans="1:8" x14ac:dyDescent="0.25">
      <c r="A16" s="30" t="s">
        <v>103</v>
      </c>
      <c r="B16" t="s">
        <v>138</v>
      </c>
      <c r="C16" t="s">
        <v>150</v>
      </c>
      <c r="E16" s="41"/>
      <c r="F16" s="38"/>
      <c r="G16" s="35" t="s">
        <v>86</v>
      </c>
      <c r="H16" s="25" t="str">
        <f>A21</f>
        <v>RE_BL2_HDP_START</v>
      </c>
    </row>
    <row r="17" spans="1:8" x14ac:dyDescent="0.25">
      <c r="A17" s="30" t="s">
        <v>104</v>
      </c>
      <c r="B17" t="s">
        <v>140</v>
      </c>
      <c r="C17" t="s">
        <v>151</v>
      </c>
      <c r="E17" s="41"/>
      <c r="F17" s="38"/>
      <c r="G17" s="36"/>
      <c r="H17" s="26" t="str">
        <f>A22</f>
        <v>RE_BL2_HDP_END</v>
      </c>
    </row>
    <row r="18" spans="1:8" x14ac:dyDescent="0.25">
      <c r="A18" s="24" t="s">
        <v>79</v>
      </c>
      <c r="B18" t="s">
        <v>141</v>
      </c>
      <c r="C18" t="s">
        <v>142</v>
      </c>
      <c r="E18" s="42"/>
      <c r="F18" s="39"/>
      <c r="G18" s="27" t="s">
        <v>58</v>
      </c>
      <c r="H18" s="21" t="str">
        <f>A6</f>
        <v>RE_LOADER_CODE_START</v>
      </c>
    </row>
    <row r="19" spans="1:8" x14ac:dyDescent="0.25">
      <c r="A19" s="24" t="s">
        <v>81</v>
      </c>
      <c r="B19" t="s">
        <v>141</v>
      </c>
      <c r="C19" t="s">
        <v>143</v>
      </c>
      <c r="E19" s="40" t="s">
        <v>94</v>
      </c>
      <c r="F19" s="35" t="s">
        <v>87</v>
      </c>
      <c r="G19" s="2" t="s">
        <v>89</v>
      </c>
      <c r="H19" s="23" t="str">
        <f>A14</f>
        <v>RE_AREA_0_OFFSET</v>
      </c>
    </row>
    <row r="20" spans="1:8" x14ac:dyDescent="0.25">
      <c r="A20" s="24" t="s">
        <v>82</v>
      </c>
      <c r="B20" t="s">
        <v>141</v>
      </c>
      <c r="C20" t="s">
        <v>143</v>
      </c>
      <c r="E20" s="41"/>
      <c r="F20" s="36"/>
      <c r="G20" s="2" t="s">
        <v>91</v>
      </c>
      <c r="H20" s="29" t="str">
        <f>A13</f>
        <v>RE_IMAGE_FLASH_APP_IMAGE_SIZE</v>
      </c>
    </row>
    <row r="21" spans="1:8" x14ac:dyDescent="0.25">
      <c r="A21" s="24" t="s">
        <v>84</v>
      </c>
      <c r="B21" t="s">
        <v>141</v>
      </c>
      <c r="C21" t="s">
        <v>144</v>
      </c>
      <c r="E21" s="41"/>
      <c r="F21" s="35" t="s">
        <v>108</v>
      </c>
      <c r="G21" s="2" t="s">
        <v>95</v>
      </c>
      <c r="H21" s="29" t="str">
        <f>A13</f>
        <v>RE_IMAGE_FLASH_APP_IMAGE_SIZE</v>
      </c>
    </row>
    <row r="22" spans="1:8" x14ac:dyDescent="0.25">
      <c r="A22" s="24" t="s">
        <v>85</v>
      </c>
      <c r="B22" t="s">
        <v>141</v>
      </c>
      <c r="C22" t="s">
        <v>144</v>
      </c>
      <c r="E22" s="41"/>
      <c r="F22" s="43"/>
      <c r="G22" s="2" t="s">
        <v>99</v>
      </c>
      <c r="H22" s="2" t="str">
        <f>A23</f>
        <v>RE_ENCRYPTION</v>
      </c>
    </row>
    <row r="23" spans="1:8" x14ac:dyDescent="0.25">
      <c r="A23" s="20" t="s">
        <v>96</v>
      </c>
      <c r="B23" t="s">
        <v>154</v>
      </c>
      <c r="C23" t="s">
        <v>152</v>
      </c>
      <c r="E23" s="41"/>
      <c r="F23" s="43"/>
      <c r="G23" s="2" t="s">
        <v>100</v>
      </c>
      <c r="H23" s="2" t="str">
        <f>A24</f>
        <v>RE_OVER_WRITE</v>
      </c>
    </row>
    <row r="24" spans="1:8" x14ac:dyDescent="0.25">
      <c r="A24" s="20" t="s">
        <v>97</v>
      </c>
      <c r="B24" t="s">
        <v>154</v>
      </c>
      <c r="C24" t="s">
        <v>153</v>
      </c>
      <c r="E24" s="41"/>
      <c r="F24" s="36"/>
      <c r="G24" s="2" t="s">
        <v>101</v>
      </c>
      <c r="H24" s="2" t="str">
        <f>A25</f>
        <v>RE_FLASH_AREA_SCRATCH_SIZE</v>
      </c>
    </row>
    <row r="25" spans="1:8" x14ac:dyDescent="0.25">
      <c r="A25" s="20" t="s">
        <v>98</v>
      </c>
      <c r="B25" t="s">
        <v>154</v>
      </c>
      <c r="C25" t="s">
        <v>155</v>
      </c>
      <c r="E25" s="41"/>
      <c r="F25" s="35" t="s">
        <v>107</v>
      </c>
      <c r="G25" s="2" t="s">
        <v>106</v>
      </c>
      <c r="H25" s="29" t="str">
        <f>A15</f>
        <v>RE_IMAGE_FLASH_ADDRESS_APP</v>
      </c>
    </row>
    <row r="26" spans="1:8" x14ac:dyDescent="0.25">
      <c r="A26" s="20" t="s">
        <v>115</v>
      </c>
      <c r="B26" t="s">
        <v>154</v>
      </c>
      <c r="C26" t="s">
        <v>156</v>
      </c>
      <c r="E26" s="41"/>
      <c r="F26" s="36"/>
      <c r="G26" s="2" t="s">
        <v>95</v>
      </c>
      <c r="H26" s="29" t="str">
        <f>A13</f>
        <v>RE_IMAGE_FLASH_APP_IMAGE_SIZE</v>
      </c>
    </row>
    <row r="27" spans="1:8" x14ac:dyDescent="0.25">
      <c r="A27" s="20" t="s">
        <v>90</v>
      </c>
      <c r="B27" t="s">
        <v>154</v>
      </c>
      <c r="C27" t="s">
        <v>149</v>
      </c>
      <c r="E27" s="41"/>
      <c r="F27" s="35" t="s">
        <v>109</v>
      </c>
      <c r="G27" s="2" t="s">
        <v>105</v>
      </c>
      <c r="H27" s="31" t="str">
        <f>A17</f>
        <v>RE_IMAGE_FLASH_DATA_IMAGE_SIZE</v>
      </c>
    </row>
    <row r="28" spans="1:8" x14ac:dyDescent="0.25">
      <c r="A28" s="20" t="s">
        <v>118</v>
      </c>
      <c r="B28" t="s">
        <v>154</v>
      </c>
      <c r="C28" t="s">
        <v>148</v>
      </c>
      <c r="E28" s="41"/>
      <c r="F28" s="43"/>
      <c r="G28" s="2" t="s">
        <v>99</v>
      </c>
      <c r="H28" s="2" t="str">
        <f>A23</f>
        <v>RE_ENCRYPTION</v>
      </c>
    </row>
    <row r="29" spans="1:8" x14ac:dyDescent="0.25">
      <c r="A29" s="20" t="s">
        <v>121</v>
      </c>
      <c r="B29" t="s">
        <v>154</v>
      </c>
      <c r="C29" t="s">
        <v>157</v>
      </c>
      <c r="E29" s="41"/>
      <c r="F29" s="43"/>
      <c r="G29" s="2" t="s">
        <v>100</v>
      </c>
      <c r="H29" s="2" t="str">
        <f>A24</f>
        <v>RE_OVER_WRITE</v>
      </c>
    </row>
    <row r="30" spans="1:8" x14ac:dyDescent="0.25">
      <c r="A30" s="20" t="s">
        <v>122</v>
      </c>
      <c r="B30" t="s">
        <v>154</v>
      </c>
      <c r="C30" t="s">
        <v>148</v>
      </c>
      <c r="E30" s="41"/>
      <c r="F30" s="36"/>
      <c r="G30" s="2" t="s">
        <v>101</v>
      </c>
      <c r="H30" s="2" t="str">
        <f>A25</f>
        <v>RE_FLASH_AREA_SCRATCH_SIZE</v>
      </c>
    </row>
    <row r="31" spans="1:8" x14ac:dyDescent="0.25">
      <c r="A31" s="20" t="s">
        <v>125</v>
      </c>
      <c r="B31" t="s">
        <v>154</v>
      </c>
      <c r="C31" t="s">
        <v>150</v>
      </c>
      <c r="E31" s="41"/>
      <c r="F31" s="35" t="s">
        <v>110</v>
      </c>
      <c r="G31" s="2" t="s">
        <v>106</v>
      </c>
      <c r="H31" s="31" t="str">
        <f>A16</f>
        <v>RE_IMAGE_FLASH_ADDRESS_DATA</v>
      </c>
    </row>
    <row r="32" spans="1:8" x14ac:dyDescent="0.25">
      <c r="A32" s="20" t="s">
        <v>126</v>
      </c>
      <c r="B32" t="s">
        <v>154</v>
      </c>
      <c r="C32" t="s">
        <v>151</v>
      </c>
      <c r="E32" s="41"/>
      <c r="F32" s="36"/>
      <c r="G32" s="2" t="s">
        <v>95</v>
      </c>
      <c r="H32" s="31" t="str">
        <f>A17</f>
        <v>RE_IMAGE_FLASH_DATA_IMAGE_SIZE</v>
      </c>
    </row>
    <row r="33" spans="1:8" x14ac:dyDescent="0.25">
      <c r="A33" s="20" t="s">
        <v>129</v>
      </c>
      <c r="B33" t="s">
        <v>154</v>
      </c>
      <c r="C33" t="s">
        <v>158</v>
      </c>
      <c r="E33" s="41"/>
      <c r="F33" s="44" t="s">
        <v>88</v>
      </c>
      <c r="G33" s="2" t="s">
        <v>89</v>
      </c>
      <c r="H33" s="2" t="str">
        <f>A14</f>
        <v>RE_AREA_0_OFFSET</v>
      </c>
    </row>
    <row r="34" spans="1:8" x14ac:dyDescent="0.25">
      <c r="A34" s="20" t="s">
        <v>130</v>
      </c>
      <c r="B34" t="s">
        <v>154</v>
      </c>
      <c r="C34" t="s">
        <v>151</v>
      </c>
      <c r="E34" s="41"/>
      <c r="F34" s="45"/>
      <c r="G34" s="2" t="s">
        <v>91</v>
      </c>
      <c r="H34" s="2" t="str">
        <f>A13</f>
        <v>RE_IMAGE_FLASH_APP_IMAGE_SIZE</v>
      </c>
    </row>
    <row r="35" spans="1:8" x14ac:dyDescent="0.25">
      <c r="A35" s="20" t="s">
        <v>134</v>
      </c>
      <c r="B35" t="s">
        <v>154</v>
      </c>
      <c r="C35" t="s">
        <v>159</v>
      </c>
      <c r="E35" s="41"/>
      <c r="F35" s="35" t="s">
        <v>111</v>
      </c>
      <c r="G35" s="2" t="s">
        <v>112</v>
      </c>
      <c r="H35" s="2" t="str">
        <f>A24</f>
        <v>RE_OVER_WRITE</v>
      </c>
    </row>
    <row r="36" spans="1:8" x14ac:dyDescent="0.25">
      <c r="E36" s="41"/>
      <c r="F36" s="43"/>
      <c r="G36" s="2" t="s">
        <v>113</v>
      </c>
      <c r="H36" s="2" t="str">
        <f>A11</f>
        <v>RE_APP_IMAGE_NUMBER</v>
      </c>
    </row>
    <row r="37" spans="1:8" x14ac:dyDescent="0.25">
      <c r="E37" s="41"/>
      <c r="F37" s="43"/>
      <c r="G37" s="2" t="s">
        <v>114</v>
      </c>
      <c r="H37" s="2" t="str">
        <f t="shared" ref="H37:H45" si="0">A26</f>
        <v>RE_S_DATA_IMAGE_NUMBER</v>
      </c>
    </row>
    <row r="38" spans="1:8" x14ac:dyDescent="0.25">
      <c r="E38" s="41"/>
      <c r="F38" s="43"/>
      <c r="G38" s="2" t="s">
        <v>116</v>
      </c>
      <c r="H38" s="2" t="str">
        <f t="shared" si="0"/>
        <v>RE_AREA_0_OFFSET</v>
      </c>
    </row>
    <row r="39" spans="1:8" x14ac:dyDescent="0.25">
      <c r="E39" s="41"/>
      <c r="F39" s="43"/>
      <c r="G39" s="2" t="s">
        <v>117</v>
      </c>
      <c r="H39" s="2" t="str">
        <f t="shared" si="0"/>
        <v>RE_AREA_0_SIZE</v>
      </c>
    </row>
    <row r="40" spans="1:8" x14ac:dyDescent="0.25">
      <c r="E40" s="41"/>
      <c r="F40" s="43"/>
      <c r="G40" s="2" t="s">
        <v>119</v>
      </c>
      <c r="H40" s="2" t="str">
        <f t="shared" si="0"/>
        <v>RE_AREA_2_OFFSET</v>
      </c>
    </row>
    <row r="41" spans="1:8" x14ac:dyDescent="0.25">
      <c r="E41" s="41"/>
      <c r="F41" s="43"/>
      <c r="G41" s="2" t="s">
        <v>120</v>
      </c>
      <c r="H41" s="2" t="str">
        <f t="shared" si="0"/>
        <v>RE_AREA_2_SIZE</v>
      </c>
    </row>
    <row r="42" spans="1:8" x14ac:dyDescent="0.25">
      <c r="E42" s="41"/>
      <c r="F42" s="43"/>
      <c r="G42" s="2" t="s">
        <v>123</v>
      </c>
      <c r="H42" s="2" t="str">
        <f t="shared" si="0"/>
        <v>RE_AREA_4_OFFSET</v>
      </c>
    </row>
    <row r="43" spans="1:8" x14ac:dyDescent="0.25">
      <c r="E43" s="41"/>
      <c r="F43" s="43"/>
      <c r="G43" s="2" t="s">
        <v>124</v>
      </c>
      <c r="H43" s="2" t="str">
        <f t="shared" si="0"/>
        <v>RE_AREA_4_SIZE</v>
      </c>
    </row>
    <row r="44" spans="1:8" x14ac:dyDescent="0.25">
      <c r="E44" s="41"/>
      <c r="F44" s="43"/>
      <c r="G44" s="2" t="s">
        <v>127</v>
      </c>
      <c r="H44" s="2" t="str">
        <f t="shared" si="0"/>
        <v>RE_AREA_6_OFFSET</v>
      </c>
    </row>
    <row r="45" spans="1:8" x14ac:dyDescent="0.25">
      <c r="E45" s="41"/>
      <c r="F45" s="43"/>
      <c r="G45" s="2" t="s">
        <v>128</v>
      </c>
      <c r="H45" s="2" t="str">
        <f t="shared" si="0"/>
        <v>RE_AREA_6_SIZE</v>
      </c>
    </row>
    <row r="46" spans="1:8" x14ac:dyDescent="0.25">
      <c r="E46" s="41"/>
      <c r="F46" s="43"/>
      <c r="G46" s="2" t="s">
        <v>131</v>
      </c>
      <c r="H46" s="29" t="str">
        <f>A13</f>
        <v>RE_IMAGE_FLASH_APP_IMAGE_SIZE</v>
      </c>
    </row>
    <row r="47" spans="1:8" x14ac:dyDescent="0.25">
      <c r="E47" s="41"/>
      <c r="F47" s="43"/>
      <c r="G47" s="2" t="s">
        <v>132</v>
      </c>
      <c r="H47" s="31" t="str">
        <f>A17</f>
        <v>RE_IMAGE_FLASH_DATA_IMAGE_SIZE</v>
      </c>
    </row>
    <row r="48" spans="1:8" x14ac:dyDescent="0.25">
      <c r="E48" s="41"/>
      <c r="F48" s="43"/>
      <c r="G48" s="2" t="s">
        <v>49</v>
      </c>
      <c r="H48" s="28" t="str">
        <f>A6</f>
        <v>RE_LOADER_CODE_START</v>
      </c>
    </row>
    <row r="49" spans="5:8" x14ac:dyDescent="0.25">
      <c r="E49" s="42"/>
      <c r="F49" s="36"/>
      <c r="G49" s="2" t="s">
        <v>133</v>
      </c>
      <c r="H49" s="2" t="str">
        <f>A35</f>
        <v>RE_FLASH_B_SIZE</v>
      </c>
    </row>
  </sheetData>
  <mergeCells count="17">
    <mergeCell ref="F35:F49"/>
    <mergeCell ref="E19:E49"/>
    <mergeCell ref="F19:F20"/>
    <mergeCell ref="F21:F24"/>
    <mergeCell ref="F25:F26"/>
    <mergeCell ref="F31:F32"/>
    <mergeCell ref="F27:F30"/>
    <mergeCell ref="F33:F34"/>
    <mergeCell ref="G14:G15"/>
    <mergeCell ref="G16:G17"/>
    <mergeCell ref="F11:F18"/>
    <mergeCell ref="E8:E18"/>
    <mergeCell ref="E3:E7"/>
    <mergeCell ref="F5:F7"/>
    <mergeCell ref="F3:F4"/>
    <mergeCell ref="F8:F10"/>
    <mergeCell ref="G12:G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38A9E-CEFD-4214-9C95-3A58D0A50079}">
  <dimension ref="A1:N46"/>
  <sheetViews>
    <sheetView tabSelected="1" topLeftCell="A19" workbookViewId="0">
      <selection activeCell="F51" sqref="F51"/>
    </sheetView>
  </sheetViews>
  <sheetFormatPr defaultRowHeight="15" x14ac:dyDescent="0.25"/>
  <cols>
    <col min="1" max="1" width="12.140625" customWidth="1"/>
    <col min="2" max="2" width="10.42578125" customWidth="1"/>
    <col min="3" max="3" width="16.28515625" customWidth="1"/>
    <col min="4" max="4" width="19.7109375" customWidth="1"/>
    <col min="5" max="5" width="14.85546875" customWidth="1"/>
    <col min="6" max="6" width="23.85546875" customWidth="1"/>
    <col min="7" max="7" width="15.5703125" customWidth="1"/>
    <col min="8" max="8" width="14.42578125" customWidth="1"/>
    <col min="9" max="9" width="17.140625" customWidth="1"/>
    <col min="10" max="10" width="15.140625" customWidth="1"/>
    <col min="11" max="11" width="13.7109375" customWidth="1"/>
    <col min="12" max="12" width="14.140625" customWidth="1"/>
    <col min="13" max="13" width="12.28515625" bestFit="1" customWidth="1"/>
    <col min="14" max="14" width="13.28515625" bestFit="1" customWidth="1"/>
  </cols>
  <sheetData>
    <row r="1" spans="1:14" hidden="1" x14ac:dyDescent="0.25">
      <c r="A1" t="s">
        <v>168</v>
      </c>
      <c r="B1" t="s">
        <v>176</v>
      </c>
      <c r="C1" t="s">
        <v>170</v>
      </c>
      <c r="D1">
        <v>0</v>
      </c>
    </row>
    <row r="2" spans="1:14" hidden="1" x14ac:dyDescent="0.25">
      <c r="A2" t="s">
        <v>169</v>
      </c>
      <c r="B2" t="s">
        <v>177</v>
      </c>
      <c r="C2" t="s">
        <v>171</v>
      </c>
      <c r="D2">
        <v>1</v>
      </c>
    </row>
    <row r="3" spans="1:14" hidden="1" x14ac:dyDescent="0.25">
      <c r="B3" t="s">
        <v>178</v>
      </c>
      <c r="C3" t="s">
        <v>172</v>
      </c>
    </row>
    <row r="4" spans="1:14" hidden="1" x14ac:dyDescent="0.25">
      <c r="C4" t="s">
        <v>173</v>
      </c>
    </row>
    <row r="5" spans="1:14" x14ac:dyDescent="0.25">
      <c r="A5" t="s">
        <v>179</v>
      </c>
    </row>
    <row r="6" spans="1:14" x14ac:dyDescent="0.25">
      <c r="B6" t="s">
        <v>181</v>
      </c>
    </row>
    <row r="7" spans="1:14" x14ac:dyDescent="0.25">
      <c r="B7" t="s">
        <v>180</v>
      </c>
    </row>
    <row r="8" spans="1:14" x14ac:dyDescent="0.25">
      <c r="B8" t="s">
        <v>182</v>
      </c>
    </row>
    <row r="9" spans="1:14" ht="15.75" x14ac:dyDescent="0.25">
      <c r="A9" s="32" t="s">
        <v>160</v>
      </c>
      <c r="B9" s="33" t="s">
        <v>175</v>
      </c>
      <c r="C9" s="32" t="s">
        <v>5</v>
      </c>
      <c r="D9" s="32" t="s">
        <v>7</v>
      </c>
      <c r="E9" s="32" t="s">
        <v>161</v>
      </c>
      <c r="F9" s="32" t="s">
        <v>162</v>
      </c>
      <c r="G9" s="32" t="s">
        <v>174</v>
      </c>
      <c r="H9" s="32" t="s">
        <v>164</v>
      </c>
      <c r="I9" s="32" t="s">
        <v>163</v>
      </c>
      <c r="J9" s="32" t="s">
        <v>165</v>
      </c>
      <c r="K9" s="32" t="s">
        <v>166</v>
      </c>
      <c r="L9" s="32" t="s">
        <v>167</v>
      </c>
      <c r="M9" s="32" t="s">
        <v>183</v>
      </c>
      <c r="N9" s="32" t="s">
        <v>184</v>
      </c>
    </row>
    <row r="10" spans="1:14" ht="15.75" x14ac:dyDescent="0.25">
      <c r="A10" s="34">
        <v>1</v>
      </c>
      <c r="B10" s="14" t="s">
        <v>176</v>
      </c>
      <c r="C10" s="14" t="s">
        <v>169</v>
      </c>
      <c r="D10" s="14" t="s">
        <v>169</v>
      </c>
      <c r="E10" s="14" t="s">
        <v>168</v>
      </c>
      <c r="F10" s="14">
        <v>1</v>
      </c>
      <c r="G10" s="14" t="s">
        <v>170</v>
      </c>
      <c r="H10" s="14" t="s">
        <v>170</v>
      </c>
      <c r="I10" s="14" t="s">
        <v>170</v>
      </c>
      <c r="J10" s="14" t="s">
        <v>170</v>
      </c>
      <c r="K10" s="14" t="s">
        <v>170</v>
      </c>
      <c r="L10" s="14" t="s">
        <v>170</v>
      </c>
      <c r="M10" s="14" t="s">
        <v>170</v>
      </c>
      <c r="N10" s="14" t="s">
        <v>170</v>
      </c>
    </row>
    <row r="11" spans="1:14" ht="15.75" x14ac:dyDescent="0.25">
      <c r="A11" s="34">
        <v>2</v>
      </c>
      <c r="B11" s="14" t="s">
        <v>176</v>
      </c>
      <c r="C11" s="14" t="s">
        <v>169</v>
      </c>
      <c r="D11" s="14" t="s">
        <v>169</v>
      </c>
      <c r="E11" s="14" t="s">
        <v>168</v>
      </c>
      <c r="F11" s="14">
        <v>0</v>
      </c>
      <c r="G11" s="14" t="s">
        <v>170</v>
      </c>
      <c r="H11" s="14" t="s">
        <v>170</v>
      </c>
      <c r="I11" s="14" t="s">
        <v>170</v>
      </c>
      <c r="J11" s="14" t="s">
        <v>170</v>
      </c>
      <c r="K11" s="14" t="s">
        <v>170</v>
      </c>
      <c r="L11" s="14" t="s">
        <v>172</v>
      </c>
      <c r="M11" s="14" t="s">
        <v>170</v>
      </c>
      <c r="N11" s="14" t="s">
        <v>172</v>
      </c>
    </row>
    <row r="12" spans="1:14" ht="15.75" x14ac:dyDescent="0.25">
      <c r="A12" s="34">
        <v>3</v>
      </c>
      <c r="B12" s="14" t="s">
        <v>176</v>
      </c>
      <c r="C12" s="14" t="s">
        <v>169</v>
      </c>
      <c r="D12" s="14" t="s">
        <v>168</v>
      </c>
      <c r="E12" s="14" t="s">
        <v>168</v>
      </c>
      <c r="F12" s="14">
        <v>1</v>
      </c>
      <c r="G12" s="14" t="s">
        <v>170</v>
      </c>
      <c r="H12" s="14" t="s">
        <v>170</v>
      </c>
      <c r="I12" s="14" t="s">
        <v>170</v>
      </c>
      <c r="J12" s="14" t="s">
        <v>170</v>
      </c>
      <c r="K12" s="14" t="s">
        <v>170</v>
      </c>
      <c r="L12" s="14" t="s">
        <v>170</v>
      </c>
      <c r="M12" s="14" t="s">
        <v>172</v>
      </c>
      <c r="N12" s="14" t="s">
        <v>172</v>
      </c>
    </row>
    <row r="13" spans="1:14" ht="15.75" x14ac:dyDescent="0.25">
      <c r="A13" s="34">
        <v>4</v>
      </c>
      <c r="B13" s="14" t="s">
        <v>176</v>
      </c>
      <c r="C13" s="14" t="s">
        <v>169</v>
      </c>
      <c r="D13" s="14" t="s">
        <v>168</v>
      </c>
      <c r="E13" s="14" t="s">
        <v>168</v>
      </c>
      <c r="F13" s="14">
        <v>0</v>
      </c>
      <c r="G13" s="14" t="s">
        <v>170</v>
      </c>
      <c r="H13" s="14" t="s">
        <v>170</v>
      </c>
      <c r="I13" s="14" t="s">
        <v>170</v>
      </c>
      <c r="J13" s="14" t="s">
        <v>170</v>
      </c>
      <c r="K13" s="14" t="s">
        <v>170</v>
      </c>
      <c r="L13" s="14" t="s">
        <v>172</v>
      </c>
      <c r="M13" s="14" t="s">
        <v>172</v>
      </c>
      <c r="N13" s="14" t="s">
        <v>172</v>
      </c>
    </row>
    <row r="14" spans="1:14" ht="15.75" x14ac:dyDescent="0.25">
      <c r="A14" s="34">
        <v>5</v>
      </c>
      <c r="B14" s="14" t="s">
        <v>177</v>
      </c>
      <c r="C14" s="14" t="s">
        <v>169</v>
      </c>
      <c r="D14" s="14" t="s">
        <v>169</v>
      </c>
      <c r="E14" s="14" t="s">
        <v>168</v>
      </c>
      <c r="F14" s="14">
        <v>1</v>
      </c>
      <c r="G14" s="14" t="s">
        <v>170</v>
      </c>
      <c r="H14" s="14" t="s">
        <v>170</v>
      </c>
      <c r="I14" s="14" t="s">
        <v>170</v>
      </c>
      <c r="J14" s="14" t="s">
        <v>170</v>
      </c>
      <c r="K14" s="14" t="s">
        <v>170</v>
      </c>
      <c r="L14" s="14" t="s">
        <v>170</v>
      </c>
      <c r="M14" s="14" t="s">
        <v>170</v>
      </c>
      <c r="N14" s="14" t="s">
        <v>170</v>
      </c>
    </row>
    <row r="15" spans="1:14" ht="15.75" x14ac:dyDescent="0.25">
      <c r="A15" s="34">
        <v>6</v>
      </c>
      <c r="B15" s="14" t="s">
        <v>177</v>
      </c>
      <c r="C15" s="14" t="s">
        <v>169</v>
      </c>
      <c r="D15" s="14" t="s">
        <v>169</v>
      </c>
      <c r="E15" s="14" t="s">
        <v>168</v>
      </c>
      <c r="F15" s="14">
        <v>0</v>
      </c>
      <c r="G15" s="14" t="s">
        <v>170</v>
      </c>
      <c r="H15" s="14" t="s">
        <v>170</v>
      </c>
      <c r="I15" s="14" t="s">
        <v>170</v>
      </c>
      <c r="J15" s="14" t="s">
        <v>170</v>
      </c>
      <c r="K15" s="14" t="s">
        <v>170</v>
      </c>
      <c r="L15" s="14" t="s">
        <v>172</v>
      </c>
      <c r="M15" s="14" t="s">
        <v>170</v>
      </c>
      <c r="N15" s="14" t="s">
        <v>172</v>
      </c>
    </row>
    <row r="16" spans="1:14" ht="15.75" x14ac:dyDescent="0.25">
      <c r="A16" s="34">
        <v>7</v>
      </c>
      <c r="B16" s="14" t="s">
        <v>177</v>
      </c>
      <c r="C16" s="14" t="s">
        <v>169</v>
      </c>
      <c r="D16" s="14" t="s">
        <v>168</v>
      </c>
      <c r="E16" s="14" t="s">
        <v>168</v>
      </c>
      <c r="F16" s="14">
        <v>1</v>
      </c>
      <c r="G16" s="14" t="s">
        <v>170</v>
      </c>
      <c r="H16" s="14" t="s">
        <v>170</v>
      </c>
      <c r="I16" s="14" t="s">
        <v>170</v>
      </c>
      <c r="J16" s="14" t="s">
        <v>170</v>
      </c>
      <c r="K16" s="14" t="s">
        <v>170</v>
      </c>
      <c r="L16" s="14" t="s">
        <v>170</v>
      </c>
      <c r="M16" s="14" t="s">
        <v>172</v>
      </c>
      <c r="N16" s="14" t="s">
        <v>172</v>
      </c>
    </row>
    <row r="17" spans="1:14" ht="15.75" x14ac:dyDescent="0.25">
      <c r="A17" s="34">
        <v>8</v>
      </c>
      <c r="B17" s="14" t="s">
        <v>177</v>
      </c>
      <c r="C17" s="14" t="s">
        <v>169</v>
      </c>
      <c r="D17" s="14" t="s">
        <v>168</v>
      </c>
      <c r="E17" s="14" t="s">
        <v>168</v>
      </c>
      <c r="F17" s="14">
        <v>0</v>
      </c>
      <c r="G17" s="14" t="s">
        <v>170</v>
      </c>
      <c r="H17" s="14" t="s">
        <v>170</v>
      </c>
      <c r="I17" s="14" t="s">
        <v>170</v>
      </c>
      <c r="J17" s="14" t="s">
        <v>170</v>
      </c>
      <c r="K17" s="14" t="s">
        <v>170</v>
      </c>
      <c r="L17" s="14" t="s">
        <v>172</v>
      </c>
      <c r="M17" s="14" t="s">
        <v>172</v>
      </c>
      <c r="N17" s="14" t="s">
        <v>172</v>
      </c>
    </row>
    <row r="18" spans="1:14" ht="15.75" x14ac:dyDescent="0.25">
      <c r="A18" s="34">
        <v>9</v>
      </c>
      <c r="B18" s="14" t="s">
        <v>178</v>
      </c>
      <c r="C18" s="14" t="s">
        <v>169</v>
      </c>
      <c r="D18" s="14" t="s">
        <v>169</v>
      </c>
      <c r="E18" s="14" t="s">
        <v>168</v>
      </c>
      <c r="F18" s="14">
        <v>1</v>
      </c>
      <c r="G18" s="14" t="s">
        <v>170</v>
      </c>
      <c r="H18" s="14" t="s">
        <v>170</v>
      </c>
      <c r="I18" s="14" t="s">
        <v>170</v>
      </c>
      <c r="J18" s="14" t="s">
        <v>170</v>
      </c>
      <c r="K18" s="14" t="s">
        <v>170</v>
      </c>
      <c r="L18" s="14" t="s">
        <v>170</v>
      </c>
      <c r="M18" s="14" t="s">
        <v>170</v>
      </c>
      <c r="N18" s="14" t="s">
        <v>170</v>
      </c>
    </row>
    <row r="19" spans="1:14" ht="15.75" x14ac:dyDescent="0.25">
      <c r="A19" s="34">
        <v>10</v>
      </c>
      <c r="B19" s="14" t="s">
        <v>178</v>
      </c>
      <c r="C19" s="14" t="s">
        <v>169</v>
      </c>
      <c r="D19" s="14" t="s">
        <v>169</v>
      </c>
      <c r="E19" s="14" t="s">
        <v>168</v>
      </c>
      <c r="F19" s="14">
        <v>0</v>
      </c>
      <c r="G19" s="14" t="s">
        <v>170</v>
      </c>
      <c r="H19" s="14" t="s">
        <v>170</v>
      </c>
      <c r="I19" s="14" t="s">
        <v>170</v>
      </c>
      <c r="J19" s="14" t="s">
        <v>170</v>
      </c>
      <c r="K19" s="14" t="s">
        <v>170</v>
      </c>
      <c r="L19" s="14" t="s">
        <v>172</v>
      </c>
      <c r="M19" s="14" t="s">
        <v>170</v>
      </c>
      <c r="N19" s="14" t="s">
        <v>172</v>
      </c>
    </row>
    <row r="20" spans="1:14" ht="15.75" x14ac:dyDescent="0.25">
      <c r="A20" s="34">
        <v>11</v>
      </c>
      <c r="B20" s="14" t="s">
        <v>178</v>
      </c>
      <c r="C20" s="14" t="s">
        <v>169</v>
      </c>
      <c r="D20" s="14" t="s">
        <v>168</v>
      </c>
      <c r="E20" s="14" t="s">
        <v>168</v>
      </c>
      <c r="F20" s="14">
        <v>1</v>
      </c>
      <c r="G20" s="14" t="s">
        <v>170</v>
      </c>
      <c r="H20" s="14" t="s">
        <v>170</v>
      </c>
      <c r="I20" s="14" t="s">
        <v>170</v>
      </c>
      <c r="J20" s="14" t="s">
        <v>170</v>
      </c>
      <c r="K20" s="14" t="s">
        <v>170</v>
      </c>
      <c r="L20" s="14" t="s">
        <v>170</v>
      </c>
      <c r="M20" s="14" t="s">
        <v>172</v>
      </c>
      <c r="N20" s="14" t="s">
        <v>172</v>
      </c>
    </row>
    <row r="21" spans="1:14" ht="15.75" x14ac:dyDescent="0.25">
      <c r="A21" s="34">
        <v>12</v>
      </c>
      <c r="B21" s="14" t="s">
        <v>178</v>
      </c>
      <c r="C21" s="14" t="s">
        <v>169</v>
      </c>
      <c r="D21" s="14" t="s">
        <v>168</v>
      </c>
      <c r="E21" s="14" t="s">
        <v>168</v>
      </c>
      <c r="F21" s="14">
        <v>0</v>
      </c>
      <c r="G21" s="14" t="s">
        <v>170</v>
      </c>
      <c r="H21" s="14" t="s">
        <v>170</v>
      </c>
      <c r="I21" s="14" t="s">
        <v>170</v>
      </c>
      <c r="J21" s="14" t="s">
        <v>170</v>
      </c>
      <c r="K21" s="14" t="s">
        <v>170</v>
      </c>
      <c r="L21" s="14" t="s">
        <v>172</v>
      </c>
      <c r="M21" s="14" t="s">
        <v>172</v>
      </c>
      <c r="N21" s="14" t="s">
        <v>172</v>
      </c>
    </row>
    <row r="22" spans="1:14" ht="15.75" x14ac:dyDescent="0.25">
      <c r="A22" s="34">
        <v>13</v>
      </c>
      <c r="B22" s="14" t="s">
        <v>176</v>
      </c>
      <c r="C22" s="14" t="s">
        <v>168</v>
      </c>
      <c r="D22" s="14" t="s">
        <v>168</v>
      </c>
      <c r="E22" s="14" t="s">
        <v>168</v>
      </c>
      <c r="F22" s="14">
        <v>1</v>
      </c>
      <c r="G22" s="14" t="s">
        <v>170</v>
      </c>
      <c r="H22" s="14" t="s">
        <v>170</v>
      </c>
      <c r="I22" s="14" t="s">
        <v>170</v>
      </c>
      <c r="J22" s="14" t="s">
        <v>170</v>
      </c>
      <c r="K22" s="14" t="s">
        <v>170</v>
      </c>
      <c r="L22" s="14" t="s">
        <v>170</v>
      </c>
      <c r="M22" s="14" t="s">
        <v>172</v>
      </c>
      <c r="N22" s="14" t="s">
        <v>172</v>
      </c>
    </row>
    <row r="23" spans="1:14" ht="15.75" x14ac:dyDescent="0.25">
      <c r="A23" s="34">
        <v>14</v>
      </c>
      <c r="B23" s="14" t="s">
        <v>176</v>
      </c>
      <c r="C23" s="14" t="s">
        <v>168</v>
      </c>
      <c r="D23" s="14" t="s">
        <v>168</v>
      </c>
      <c r="E23" s="14" t="s">
        <v>168</v>
      </c>
      <c r="F23" s="14">
        <v>0</v>
      </c>
      <c r="G23" s="14" t="s">
        <v>170</v>
      </c>
      <c r="H23" s="14" t="s">
        <v>170</v>
      </c>
      <c r="I23" s="14" t="s">
        <v>170</v>
      </c>
      <c r="J23" s="14" t="s">
        <v>170</v>
      </c>
      <c r="K23" s="14" t="s">
        <v>170</v>
      </c>
      <c r="L23" s="14" t="s">
        <v>172</v>
      </c>
      <c r="M23" s="14" t="s">
        <v>172</v>
      </c>
      <c r="N23" s="14" t="s">
        <v>172</v>
      </c>
    </row>
    <row r="24" spans="1:14" ht="15.75" x14ac:dyDescent="0.25">
      <c r="A24" s="34">
        <v>15</v>
      </c>
      <c r="B24" s="14" t="s">
        <v>177</v>
      </c>
      <c r="C24" s="14" t="s">
        <v>168</v>
      </c>
      <c r="D24" s="14" t="s">
        <v>168</v>
      </c>
      <c r="E24" s="14" t="s">
        <v>168</v>
      </c>
      <c r="F24" s="14">
        <v>1</v>
      </c>
      <c r="G24" s="14" t="s">
        <v>170</v>
      </c>
      <c r="H24" s="14" t="s">
        <v>170</v>
      </c>
      <c r="I24" s="14" t="s">
        <v>170</v>
      </c>
      <c r="J24" s="14" t="s">
        <v>170</v>
      </c>
      <c r="K24" s="14" t="s">
        <v>170</v>
      </c>
      <c r="L24" s="14" t="s">
        <v>170</v>
      </c>
      <c r="M24" s="14" t="s">
        <v>172</v>
      </c>
      <c r="N24" s="14" t="s">
        <v>172</v>
      </c>
    </row>
    <row r="25" spans="1:14" ht="15.75" x14ac:dyDescent="0.25">
      <c r="A25" s="34">
        <v>16</v>
      </c>
      <c r="B25" s="14" t="s">
        <v>177</v>
      </c>
      <c r="C25" s="14" t="s">
        <v>168</v>
      </c>
      <c r="D25" s="14" t="s">
        <v>168</v>
      </c>
      <c r="E25" s="14" t="s">
        <v>168</v>
      </c>
      <c r="F25" s="14">
        <v>0</v>
      </c>
      <c r="G25" s="14" t="s">
        <v>170</v>
      </c>
      <c r="H25" s="14" t="s">
        <v>170</v>
      </c>
      <c r="I25" s="14" t="s">
        <v>170</v>
      </c>
      <c r="J25" s="14" t="s">
        <v>170</v>
      </c>
      <c r="K25" s="14" t="s">
        <v>170</v>
      </c>
      <c r="L25" s="14" t="s">
        <v>172</v>
      </c>
      <c r="M25" s="14" t="s">
        <v>172</v>
      </c>
      <c r="N25" s="14" t="s">
        <v>172</v>
      </c>
    </row>
    <row r="26" spans="1:14" ht="15.75" x14ac:dyDescent="0.25">
      <c r="A26" s="34">
        <v>17</v>
      </c>
      <c r="B26" s="14" t="s">
        <v>178</v>
      </c>
      <c r="C26" s="14" t="s">
        <v>168</v>
      </c>
      <c r="D26" s="14" t="s">
        <v>168</v>
      </c>
      <c r="E26" s="14" t="s">
        <v>168</v>
      </c>
      <c r="F26" s="14">
        <v>1</v>
      </c>
      <c r="G26" s="14" t="s">
        <v>170</v>
      </c>
      <c r="H26" s="14" t="s">
        <v>170</v>
      </c>
      <c r="I26" s="14" t="s">
        <v>170</v>
      </c>
      <c r="J26" s="14" t="s">
        <v>170</v>
      </c>
      <c r="K26" s="14" t="s">
        <v>170</v>
      </c>
      <c r="L26" s="14" t="s">
        <v>170</v>
      </c>
      <c r="M26" s="14" t="s">
        <v>172</v>
      </c>
      <c r="N26" s="14" t="s">
        <v>172</v>
      </c>
    </row>
    <row r="27" spans="1:14" ht="15.75" x14ac:dyDescent="0.25">
      <c r="A27" s="34">
        <v>18</v>
      </c>
      <c r="B27" s="14" t="s">
        <v>178</v>
      </c>
      <c r="C27" s="14" t="s">
        <v>168</v>
      </c>
      <c r="D27" s="14" t="s">
        <v>168</v>
      </c>
      <c r="E27" s="14" t="s">
        <v>168</v>
      </c>
      <c r="F27" s="14">
        <v>0</v>
      </c>
      <c r="G27" s="14" t="s">
        <v>170</v>
      </c>
      <c r="H27" s="14" t="s">
        <v>170</v>
      </c>
      <c r="I27" s="14" t="s">
        <v>170</v>
      </c>
      <c r="J27" s="14" t="s">
        <v>170</v>
      </c>
      <c r="K27" s="14" t="s">
        <v>170</v>
      </c>
      <c r="L27" s="14" t="s">
        <v>172</v>
      </c>
      <c r="M27" s="14" t="s">
        <v>172</v>
      </c>
      <c r="N27" s="14" t="s">
        <v>172</v>
      </c>
    </row>
    <row r="28" spans="1:14" ht="15.75" x14ac:dyDescent="0.25">
      <c r="A28" s="34">
        <v>19</v>
      </c>
      <c r="B28" s="14" t="s">
        <v>176</v>
      </c>
      <c r="C28" s="14" t="s">
        <v>169</v>
      </c>
      <c r="D28" s="14" t="s">
        <v>169</v>
      </c>
      <c r="E28" s="14" t="s">
        <v>169</v>
      </c>
      <c r="F28" s="14">
        <v>1</v>
      </c>
      <c r="G28" s="14" t="s">
        <v>170</v>
      </c>
      <c r="H28" s="14" t="s">
        <v>170</v>
      </c>
      <c r="I28" s="14" t="s">
        <v>172</v>
      </c>
      <c r="J28" s="14" t="s">
        <v>170</v>
      </c>
      <c r="K28" s="14" t="s">
        <v>170</v>
      </c>
      <c r="L28" s="14" t="s">
        <v>170</v>
      </c>
      <c r="M28" s="14" t="s">
        <v>170</v>
      </c>
      <c r="N28" s="14" t="s">
        <v>170</v>
      </c>
    </row>
    <row r="29" spans="1:14" ht="15.75" x14ac:dyDescent="0.25">
      <c r="A29" s="34">
        <v>20</v>
      </c>
      <c r="B29" s="14" t="s">
        <v>176</v>
      </c>
      <c r="C29" s="14" t="s">
        <v>169</v>
      </c>
      <c r="D29" s="14" t="s">
        <v>169</v>
      </c>
      <c r="E29" s="14" t="s">
        <v>169</v>
      </c>
      <c r="F29" s="14">
        <v>0</v>
      </c>
      <c r="G29" s="14" t="s">
        <v>170</v>
      </c>
      <c r="H29" s="14" t="s">
        <v>170</v>
      </c>
      <c r="I29" s="14" t="s">
        <v>172</v>
      </c>
      <c r="J29" s="14" t="s">
        <v>170</v>
      </c>
      <c r="K29" s="14" t="s">
        <v>170</v>
      </c>
      <c r="L29" s="14" t="s">
        <v>172</v>
      </c>
      <c r="M29" s="14" t="s">
        <v>170</v>
      </c>
      <c r="N29" s="14" t="s">
        <v>172</v>
      </c>
    </row>
    <row r="30" spans="1:14" ht="15.75" x14ac:dyDescent="0.25">
      <c r="A30" s="34">
        <v>21</v>
      </c>
      <c r="B30" s="14" t="s">
        <v>177</v>
      </c>
      <c r="C30" s="14" t="s">
        <v>169</v>
      </c>
      <c r="D30" s="14" t="s">
        <v>169</v>
      </c>
      <c r="E30" s="14" t="s">
        <v>169</v>
      </c>
      <c r="F30" s="14">
        <v>1</v>
      </c>
      <c r="G30" s="14" t="s">
        <v>170</v>
      </c>
      <c r="H30" s="14" t="s">
        <v>170</v>
      </c>
      <c r="I30" s="14" t="s">
        <v>172</v>
      </c>
      <c r="J30" s="14" t="s">
        <v>170</v>
      </c>
      <c r="K30" s="14" t="s">
        <v>170</v>
      </c>
      <c r="L30" s="14" t="s">
        <v>170</v>
      </c>
      <c r="M30" s="14" t="s">
        <v>170</v>
      </c>
      <c r="N30" s="14" t="s">
        <v>170</v>
      </c>
    </row>
    <row r="31" spans="1:14" ht="15.75" x14ac:dyDescent="0.25">
      <c r="A31" s="34">
        <v>22</v>
      </c>
      <c r="B31" s="14" t="s">
        <v>177</v>
      </c>
      <c r="C31" s="14" t="s">
        <v>169</v>
      </c>
      <c r="D31" s="14" t="s">
        <v>169</v>
      </c>
      <c r="E31" s="14" t="s">
        <v>169</v>
      </c>
      <c r="F31" s="14">
        <v>0</v>
      </c>
      <c r="G31" s="14" t="s">
        <v>170</v>
      </c>
      <c r="H31" s="14" t="s">
        <v>170</v>
      </c>
      <c r="I31" s="14" t="s">
        <v>172</v>
      </c>
      <c r="J31" s="14" t="s">
        <v>170</v>
      </c>
      <c r="K31" s="14" t="s">
        <v>170</v>
      </c>
      <c r="L31" s="14" t="s">
        <v>172</v>
      </c>
      <c r="M31" s="14" t="s">
        <v>170</v>
      </c>
      <c r="N31" s="14" t="s">
        <v>172</v>
      </c>
    </row>
    <row r="32" spans="1:14" ht="15.75" x14ac:dyDescent="0.25">
      <c r="A32" s="34">
        <v>23</v>
      </c>
      <c r="B32" s="14" t="s">
        <v>178</v>
      </c>
      <c r="C32" s="14" t="s">
        <v>169</v>
      </c>
      <c r="D32" s="14" t="s">
        <v>169</v>
      </c>
      <c r="E32" s="14" t="s">
        <v>169</v>
      </c>
      <c r="F32" s="14">
        <v>1</v>
      </c>
      <c r="G32" s="14" t="s">
        <v>170</v>
      </c>
      <c r="H32" s="14" t="s">
        <v>170</v>
      </c>
      <c r="I32" s="14" t="s">
        <v>172</v>
      </c>
      <c r="J32" s="14" t="s">
        <v>170</v>
      </c>
      <c r="K32" s="14" t="s">
        <v>170</v>
      </c>
      <c r="L32" s="14" t="s">
        <v>170</v>
      </c>
      <c r="M32" s="14" t="s">
        <v>170</v>
      </c>
      <c r="N32" s="14" t="s">
        <v>170</v>
      </c>
    </row>
    <row r="33" spans="1:14" ht="15.75" x14ac:dyDescent="0.25">
      <c r="A33" s="34">
        <v>24</v>
      </c>
      <c r="B33" s="14" t="s">
        <v>178</v>
      </c>
      <c r="C33" s="14" t="s">
        <v>169</v>
      </c>
      <c r="D33" s="14" t="s">
        <v>169</v>
      </c>
      <c r="E33" s="14" t="s">
        <v>169</v>
      </c>
      <c r="F33" s="14">
        <v>0</v>
      </c>
      <c r="G33" s="14" t="s">
        <v>170</v>
      </c>
      <c r="H33" s="14" t="s">
        <v>170</v>
      </c>
      <c r="I33" s="14" t="s">
        <v>172</v>
      </c>
      <c r="J33" s="14" t="s">
        <v>170</v>
      </c>
      <c r="K33" s="14" t="s">
        <v>170</v>
      </c>
      <c r="L33" s="14" t="s">
        <v>172</v>
      </c>
      <c r="M33" s="14" t="s">
        <v>170</v>
      </c>
      <c r="N33" s="14" t="s">
        <v>172</v>
      </c>
    </row>
    <row r="34" spans="1:14" ht="15.75" x14ac:dyDescent="0.25">
      <c r="A34" s="34">
        <v>25</v>
      </c>
      <c r="B34" s="14" t="s">
        <v>176</v>
      </c>
      <c r="C34" s="14" t="s">
        <v>169</v>
      </c>
      <c r="D34" s="14" t="s">
        <v>168</v>
      </c>
      <c r="E34" s="14" t="s">
        <v>169</v>
      </c>
      <c r="F34" s="14">
        <v>1</v>
      </c>
      <c r="G34" s="14" t="s">
        <v>170</v>
      </c>
      <c r="H34" s="14" t="s">
        <v>170</v>
      </c>
      <c r="I34" s="14" t="s">
        <v>172</v>
      </c>
      <c r="J34" s="14" t="s">
        <v>170</v>
      </c>
      <c r="K34" s="14" t="s">
        <v>170</v>
      </c>
      <c r="L34" s="14" t="s">
        <v>170</v>
      </c>
      <c r="M34" s="14" t="s">
        <v>172</v>
      </c>
      <c r="N34" s="14" t="s">
        <v>172</v>
      </c>
    </row>
    <row r="35" spans="1:14" ht="15.75" x14ac:dyDescent="0.25">
      <c r="A35" s="34">
        <v>26</v>
      </c>
      <c r="B35" s="14" t="s">
        <v>176</v>
      </c>
      <c r="C35" s="14" t="s">
        <v>169</v>
      </c>
      <c r="D35" s="14" t="s">
        <v>168</v>
      </c>
      <c r="E35" s="14" t="s">
        <v>169</v>
      </c>
      <c r="F35" s="14">
        <v>0</v>
      </c>
      <c r="G35" s="14" t="s">
        <v>170</v>
      </c>
      <c r="H35" s="14" t="s">
        <v>170</v>
      </c>
      <c r="I35" s="14" t="s">
        <v>172</v>
      </c>
      <c r="J35" s="14" t="s">
        <v>170</v>
      </c>
      <c r="K35" s="14" t="s">
        <v>170</v>
      </c>
      <c r="L35" s="14" t="s">
        <v>172</v>
      </c>
      <c r="M35" s="14" t="s">
        <v>172</v>
      </c>
      <c r="N35" s="14" t="s">
        <v>172</v>
      </c>
    </row>
    <row r="36" spans="1:14" ht="15.75" x14ac:dyDescent="0.25">
      <c r="A36" s="34">
        <v>27</v>
      </c>
      <c r="B36" s="14" t="s">
        <v>177</v>
      </c>
      <c r="C36" s="14" t="s">
        <v>169</v>
      </c>
      <c r="D36" s="14" t="s">
        <v>168</v>
      </c>
      <c r="E36" s="14" t="s">
        <v>169</v>
      </c>
      <c r="F36" s="14">
        <v>1</v>
      </c>
      <c r="G36" s="14" t="s">
        <v>170</v>
      </c>
      <c r="H36" s="14" t="s">
        <v>170</v>
      </c>
      <c r="I36" s="14" t="s">
        <v>172</v>
      </c>
      <c r="J36" s="14" t="s">
        <v>170</v>
      </c>
      <c r="K36" s="14" t="s">
        <v>170</v>
      </c>
      <c r="L36" s="14" t="s">
        <v>170</v>
      </c>
      <c r="M36" s="14" t="s">
        <v>172</v>
      </c>
      <c r="N36" s="14" t="s">
        <v>172</v>
      </c>
    </row>
    <row r="37" spans="1:14" ht="15.75" x14ac:dyDescent="0.25">
      <c r="A37" s="34">
        <v>28</v>
      </c>
      <c r="B37" s="14" t="s">
        <v>177</v>
      </c>
      <c r="C37" s="14" t="s">
        <v>169</v>
      </c>
      <c r="D37" s="14" t="s">
        <v>168</v>
      </c>
      <c r="E37" s="14" t="s">
        <v>169</v>
      </c>
      <c r="F37" s="14">
        <v>0</v>
      </c>
      <c r="G37" s="14" t="s">
        <v>170</v>
      </c>
      <c r="H37" s="14" t="s">
        <v>170</v>
      </c>
      <c r="I37" s="14" t="s">
        <v>172</v>
      </c>
      <c r="J37" s="14" t="s">
        <v>170</v>
      </c>
      <c r="K37" s="14" t="s">
        <v>170</v>
      </c>
      <c r="L37" s="14" t="s">
        <v>172</v>
      </c>
      <c r="M37" s="14" t="s">
        <v>172</v>
      </c>
      <c r="N37" s="14" t="s">
        <v>172</v>
      </c>
    </row>
    <row r="38" spans="1:14" ht="15.75" x14ac:dyDescent="0.25">
      <c r="A38" s="34">
        <v>29</v>
      </c>
      <c r="B38" s="14" t="s">
        <v>178</v>
      </c>
      <c r="C38" s="14" t="s">
        <v>169</v>
      </c>
      <c r="D38" s="14" t="s">
        <v>168</v>
      </c>
      <c r="E38" s="14" t="s">
        <v>169</v>
      </c>
      <c r="F38" s="14">
        <v>1</v>
      </c>
      <c r="G38" s="14" t="s">
        <v>170</v>
      </c>
      <c r="H38" s="14" t="s">
        <v>170</v>
      </c>
      <c r="I38" s="14" t="s">
        <v>172</v>
      </c>
      <c r="J38" s="14" t="s">
        <v>170</v>
      </c>
      <c r="K38" s="14" t="s">
        <v>170</v>
      </c>
      <c r="L38" s="14" t="s">
        <v>170</v>
      </c>
      <c r="M38" s="14" t="s">
        <v>172</v>
      </c>
      <c r="N38" s="14" t="s">
        <v>172</v>
      </c>
    </row>
    <row r="39" spans="1:14" ht="15.75" x14ac:dyDescent="0.25">
      <c r="A39" s="34">
        <v>30</v>
      </c>
      <c r="B39" s="14" t="s">
        <v>178</v>
      </c>
      <c r="C39" s="14" t="s">
        <v>169</v>
      </c>
      <c r="D39" s="14" t="s">
        <v>168</v>
      </c>
      <c r="E39" s="14" t="s">
        <v>169</v>
      </c>
      <c r="F39" s="14">
        <v>0</v>
      </c>
      <c r="G39" s="14" t="s">
        <v>170</v>
      </c>
      <c r="H39" s="14" t="s">
        <v>170</v>
      </c>
      <c r="I39" s="14" t="s">
        <v>172</v>
      </c>
      <c r="J39" s="14" t="s">
        <v>170</v>
      </c>
      <c r="K39" s="14" t="s">
        <v>170</v>
      </c>
      <c r="L39" s="14" t="s">
        <v>172</v>
      </c>
      <c r="M39" s="14" t="s">
        <v>172</v>
      </c>
      <c r="N39" s="14" t="s">
        <v>172</v>
      </c>
    </row>
    <row r="40" spans="1:14" ht="15.75" x14ac:dyDescent="0.25">
      <c r="A40" s="34">
        <v>31</v>
      </c>
      <c r="B40" s="14" t="s">
        <v>176</v>
      </c>
      <c r="C40" s="14" t="s">
        <v>168</v>
      </c>
      <c r="D40" s="14" t="s">
        <v>168</v>
      </c>
      <c r="E40" s="14" t="s">
        <v>169</v>
      </c>
      <c r="F40" s="14">
        <v>0</v>
      </c>
      <c r="G40" s="14" t="s">
        <v>170</v>
      </c>
      <c r="H40" s="14" t="s">
        <v>170</v>
      </c>
      <c r="I40" s="14" t="s">
        <v>172</v>
      </c>
      <c r="J40" s="14" t="s">
        <v>170</v>
      </c>
      <c r="K40" s="14" t="s">
        <v>170</v>
      </c>
      <c r="L40" s="14" t="s">
        <v>172</v>
      </c>
      <c r="M40" s="14" t="s">
        <v>172</v>
      </c>
      <c r="N40" s="14" t="s">
        <v>172</v>
      </c>
    </row>
    <row r="41" spans="1:14" ht="15.75" x14ac:dyDescent="0.25">
      <c r="A41" s="34">
        <v>32</v>
      </c>
      <c r="B41" s="14" t="s">
        <v>176</v>
      </c>
      <c r="C41" s="14" t="s">
        <v>168</v>
      </c>
      <c r="D41" s="14" t="s">
        <v>168</v>
      </c>
      <c r="E41" s="14" t="s">
        <v>169</v>
      </c>
      <c r="F41" s="14">
        <v>1</v>
      </c>
      <c r="G41" s="14" t="s">
        <v>170</v>
      </c>
      <c r="H41" s="14" t="s">
        <v>170</v>
      </c>
      <c r="I41" s="14" t="s">
        <v>172</v>
      </c>
      <c r="J41" s="14" t="s">
        <v>170</v>
      </c>
      <c r="K41" s="14" t="s">
        <v>170</v>
      </c>
      <c r="L41" s="14" t="s">
        <v>170</v>
      </c>
      <c r="M41" s="14" t="s">
        <v>172</v>
      </c>
      <c r="N41" s="14" t="s">
        <v>172</v>
      </c>
    </row>
    <row r="42" spans="1:14" ht="15.75" x14ac:dyDescent="0.25">
      <c r="A42" s="34">
        <v>33</v>
      </c>
      <c r="B42" s="14" t="s">
        <v>177</v>
      </c>
      <c r="C42" s="14" t="s">
        <v>168</v>
      </c>
      <c r="D42" s="14" t="s">
        <v>168</v>
      </c>
      <c r="E42" s="14" t="s">
        <v>169</v>
      </c>
      <c r="F42" s="14">
        <v>0</v>
      </c>
      <c r="G42" s="14" t="s">
        <v>170</v>
      </c>
      <c r="H42" s="14" t="s">
        <v>170</v>
      </c>
      <c r="I42" s="14" t="s">
        <v>172</v>
      </c>
      <c r="J42" s="14" t="s">
        <v>170</v>
      </c>
      <c r="K42" s="14" t="s">
        <v>170</v>
      </c>
      <c r="L42" s="14" t="s">
        <v>172</v>
      </c>
      <c r="M42" s="14" t="s">
        <v>172</v>
      </c>
      <c r="N42" s="14" t="s">
        <v>172</v>
      </c>
    </row>
    <row r="43" spans="1:14" ht="15.75" x14ac:dyDescent="0.25">
      <c r="A43" s="34">
        <v>34</v>
      </c>
      <c r="B43" s="14" t="s">
        <v>177</v>
      </c>
      <c r="C43" s="14" t="s">
        <v>168</v>
      </c>
      <c r="D43" s="14" t="s">
        <v>168</v>
      </c>
      <c r="E43" s="14" t="s">
        <v>169</v>
      </c>
      <c r="F43" s="14">
        <v>1</v>
      </c>
      <c r="G43" s="14" t="s">
        <v>170</v>
      </c>
      <c r="H43" s="14" t="s">
        <v>170</v>
      </c>
      <c r="I43" s="14" t="s">
        <v>172</v>
      </c>
      <c r="J43" s="14" t="s">
        <v>170</v>
      </c>
      <c r="K43" s="14" t="s">
        <v>170</v>
      </c>
      <c r="L43" s="14" t="s">
        <v>170</v>
      </c>
      <c r="M43" s="14" t="s">
        <v>172</v>
      </c>
      <c r="N43" s="14" t="s">
        <v>172</v>
      </c>
    </row>
    <row r="44" spans="1:14" ht="15.75" x14ac:dyDescent="0.25">
      <c r="A44" s="34">
        <v>35</v>
      </c>
      <c r="B44" s="14" t="s">
        <v>178</v>
      </c>
      <c r="C44" s="14" t="s">
        <v>168</v>
      </c>
      <c r="D44" s="14" t="s">
        <v>168</v>
      </c>
      <c r="E44" s="14" t="s">
        <v>169</v>
      </c>
      <c r="F44" s="14">
        <v>0</v>
      </c>
      <c r="G44" s="14" t="s">
        <v>170</v>
      </c>
      <c r="H44" s="14" t="s">
        <v>170</v>
      </c>
      <c r="I44" s="14" t="s">
        <v>172</v>
      </c>
      <c r="J44" s="14" t="s">
        <v>170</v>
      </c>
      <c r="K44" s="14" t="s">
        <v>170</v>
      </c>
      <c r="L44" s="14" t="s">
        <v>172</v>
      </c>
      <c r="M44" s="14" t="s">
        <v>172</v>
      </c>
      <c r="N44" s="14" t="s">
        <v>172</v>
      </c>
    </row>
    <row r="45" spans="1:14" ht="15.75" x14ac:dyDescent="0.25">
      <c r="A45" s="34">
        <v>36</v>
      </c>
      <c r="B45" s="14" t="s">
        <v>178</v>
      </c>
      <c r="C45" s="14" t="s">
        <v>168</v>
      </c>
      <c r="D45" s="14" t="s">
        <v>168</v>
      </c>
      <c r="E45" s="14" t="s">
        <v>169</v>
      </c>
      <c r="F45" s="14">
        <v>1</v>
      </c>
      <c r="G45" s="14" t="s">
        <v>170</v>
      </c>
      <c r="H45" s="14" t="s">
        <v>170</v>
      </c>
      <c r="I45" s="14" t="s">
        <v>172</v>
      </c>
      <c r="J45" s="14" t="s">
        <v>170</v>
      </c>
      <c r="K45" s="14" t="s">
        <v>170</v>
      </c>
      <c r="L45" s="14" t="s">
        <v>170</v>
      </c>
      <c r="M45" s="14" t="s">
        <v>172</v>
      </c>
      <c r="N45" s="14" t="s">
        <v>172</v>
      </c>
    </row>
    <row r="46" spans="1:14" ht="15.75" x14ac:dyDescent="0.25">
      <c r="A46" s="3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</row>
  </sheetData>
  <autoFilter ref="A9:L46" xr:uid="{0C038A9E-CEFD-4214-9C95-3A58D0A50079}"/>
  <conditionalFormatting sqref="B10:B46">
    <cfRule type="cellIs" dxfId="10" priority="1" operator="equal">
      <formula>$B$3</formula>
    </cfRule>
    <cfRule type="cellIs" dxfId="9" priority="2" operator="equal">
      <formula>$B$2</formula>
    </cfRule>
    <cfRule type="cellIs" dxfId="8" priority="3" operator="equal">
      <formula>$B$1</formula>
    </cfRule>
  </conditionalFormatting>
  <conditionalFormatting sqref="C10:E46">
    <cfRule type="cellIs" dxfId="7" priority="6" operator="equal">
      <formula>$A$2</formula>
    </cfRule>
    <cfRule type="cellIs" dxfId="6" priority="7" operator="equal">
      <formula>$A$1</formula>
    </cfRule>
  </conditionalFormatting>
  <conditionalFormatting sqref="F10:F46">
    <cfRule type="cellIs" dxfId="5" priority="4" operator="equal">
      <formula>$D$2</formula>
    </cfRule>
    <cfRule type="cellIs" dxfId="4" priority="5" operator="equal">
      <formula>$D$1</formula>
    </cfRule>
  </conditionalFormatting>
  <conditionalFormatting sqref="G10:N46">
    <cfRule type="cellIs" dxfId="3" priority="8" operator="equal">
      <formula>$C$4</formula>
    </cfRule>
    <cfRule type="cellIs" dxfId="2" priority="9" operator="equal">
      <formula>$C$3</formula>
    </cfRule>
    <cfRule type="cellIs" dxfId="1" priority="10" operator="equal">
      <formula>$C$1</formula>
    </cfRule>
    <cfRule type="cellIs" dxfId="0" priority="11" operator="equal">
      <formula>$C$2</formula>
    </cfRule>
  </conditionalFormatting>
  <dataValidations count="4">
    <dataValidation type="list" allowBlank="1" showInputMessage="1" showErrorMessage="1" sqref="C10:E46" xr:uid="{1C05F047-0FFB-4DC0-9304-C7C5FAC3BCB7}">
      <formula1>$A$1:$A$2</formula1>
    </dataValidation>
    <dataValidation type="list" allowBlank="1" showInputMessage="1" showErrorMessage="1" sqref="F10:F46" xr:uid="{CDCD4EAA-9FC2-48CE-99A6-116FE4353462}">
      <formula1>$D$1:$D$2</formula1>
    </dataValidation>
    <dataValidation type="list" allowBlank="1" showInputMessage="1" showErrorMessage="1" sqref="G10:N46" xr:uid="{E20357E7-74E1-4609-BC8C-8E9B4CD30CFC}">
      <formula1>$C$1:$C$4</formula1>
    </dataValidation>
    <dataValidation type="list" allowBlank="1" showInputMessage="1" showErrorMessage="1" sqref="B10:B46" xr:uid="{DC7C77C6-B065-4670-B26D-05BC3F78FAEB}">
      <formula1>$B$1:$B$3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f8c7287-838c-46dd-b281-b1140229e67a}" enabled="1" method="Privileged" siteId="{75e027c9-20d5-47d5-b82f-77d7cd041e8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OEMiROT Flash Layout</vt:lpstr>
      <vt:lpstr>Build Actions</vt:lpstr>
      <vt:lpstr>Test cases</vt:lpstr>
    </vt:vector>
  </TitlesOfParts>
  <Company>STMicroelectronics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Sunny CHEN</dc:creator>
  <cp:lastModifiedBy>Sunny CHEN</cp:lastModifiedBy>
  <dcterms:created xsi:type="dcterms:W3CDTF">2026-01-30T09:25:41Z</dcterms:created>
  <dcterms:modified xsi:type="dcterms:W3CDTF">2026-02-10T09:06:03Z</dcterms:modified>
</cp:coreProperties>
</file>