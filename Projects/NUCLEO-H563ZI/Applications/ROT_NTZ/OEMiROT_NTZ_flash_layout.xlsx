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\Cube\Cube1\STM32CubeH5\Projects\NUCLEO-H563ZI\Applications\ROT_NTZ\"/>
    </mc:Choice>
  </mc:AlternateContent>
  <xr:revisionPtr revIDLastSave="0" documentId="13_ncr:1_{9D11B675-5CB4-4D8D-BB9A-8B04B1C110FB}" xr6:coauthVersionLast="47" xr6:coauthVersionMax="47" xr10:uidLastSave="{00000000-0000-0000-0000-000000000000}"/>
  <bookViews>
    <workbookView xWindow="-28920" yWindow="-120" windowWidth="29040" windowHeight="15720" xr2:uid="{973ADE99-8809-4282-875C-44A8EA15E93C}"/>
  </bookViews>
  <sheets>
    <sheet name="OEMiROT Flash Layout" sheetId="1" r:id="rId1"/>
    <sheet name="Build A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H8" i="2"/>
  <c r="H7" i="2"/>
  <c r="H6" i="2"/>
  <c r="H5" i="2"/>
  <c r="H4" i="2"/>
  <c r="H3" i="2"/>
  <c r="E14" i="1"/>
  <c r="B9" i="1"/>
  <c r="F20" i="1" s="1"/>
  <c r="H20" i="1" s="1"/>
  <c r="I20" i="1" s="1"/>
  <c r="F22" i="1"/>
  <c r="H22" i="1" s="1"/>
  <c r="G22" i="1" s="1"/>
  <c r="B11" i="1"/>
  <c r="F16" i="1" s="1"/>
  <c r="F19" i="1" s="1"/>
  <c r="F17" i="1" s="1"/>
  <c r="F18" i="1" s="1"/>
  <c r="H14" i="1"/>
  <c r="I14" i="1" s="1"/>
  <c r="F15" i="1"/>
  <c r="H15" i="1" s="1"/>
  <c r="I15" i="1" s="1"/>
  <c r="D14" i="1"/>
  <c r="C15" i="1"/>
  <c r="D15" i="1" s="1"/>
  <c r="E15" i="1" l="1"/>
  <c r="C16" i="1"/>
  <c r="D16" i="1" s="1"/>
  <c r="E16" i="1" s="1"/>
  <c r="G15" i="1"/>
  <c r="G14" i="1"/>
  <c r="G20" i="1"/>
  <c r="I22" i="1"/>
  <c r="H16" i="1"/>
  <c r="I16" i="1" l="1"/>
  <c r="G16" i="1"/>
  <c r="H19" i="1"/>
  <c r="H18" i="1"/>
  <c r="I18" i="1" l="1"/>
  <c r="G18" i="1"/>
  <c r="I19" i="1"/>
  <c r="G19" i="1"/>
  <c r="H17" i="1"/>
  <c r="H21" i="1" s="1"/>
  <c r="C17" i="1"/>
  <c r="I17" i="1" l="1"/>
  <c r="G17" i="1"/>
  <c r="G21" i="1"/>
  <c r="C18" i="1"/>
  <c r="D17" i="1"/>
  <c r="E17" i="1" s="1"/>
  <c r="F21" i="1" l="1"/>
  <c r="I21" i="1"/>
  <c r="H23" i="1"/>
  <c r="G23" i="1" s="1"/>
  <c r="C19" i="1"/>
  <c r="D18" i="1"/>
  <c r="E18" i="1" s="1"/>
  <c r="D19" i="1" l="1"/>
  <c r="E19" i="1" s="1"/>
  <c r="C20" i="1"/>
  <c r="D20" i="1" s="1"/>
  <c r="E20" i="1" s="1"/>
  <c r="I23" i="1"/>
  <c r="F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tc={E2B6AAF7-D7F2-41B2-BC0F-44162A34E3C2}</author>
    <author>tc={C782EF7C-234D-4A58-A172-7955C6803B86}</author>
  </authors>
  <commentList>
    <comment ref="B9" authorId="0" shapeId="0" xr:uid="{E2B6AAF7-D7F2-41B2-BC0F-44162A34E3C2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be multiple of size of 4 pages because write protection is in unit of 4 pages</t>
      </text>
    </comment>
    <comment ref="B11" authorId="1" shapeId="0" xr:uid="{C782EF7C-234D-4A58-A172-7955C6803B86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be multiple of page size</t>
      </text>
    </comment>
  </commentList>
</comments>
</file>

<file path=xl/sharedStrings.xml><?xml version="1.0" encoding="utf-8"?>
<sst xmlns="http://schemas.openxmlformats.org/spreadsheetml/2006/main" count="99" uniqueCount="77">
  <si>
    <t>offset</t>
  </si>
  <si>
    <t>start</t>
  </si>
  <si>
    <t>BL2</t>
  </si>
  <si>
    <t>AREA ID</t>
  </si>
  <si>
    <t>FLASH_BASE</t>
  </si>
  <si>
    <t>PRIMARY_ONLY</t>
  </si>
  <si>
    <t>N</t>
  </si>
  <si>
    <t>OVERWRITE_ONLY</t>
  </si>
  <si>
    <t>SCRATCH</t>
  </si>
  <si>
    <t>SCRTACH</t>
  </si>
  <si>
    <t>LOADER</t>
  </si>
  <si>
    <t>Y</t>
  </si>
  <si>
    <t>App Active</t>
  </si>
  <si>
    <t>App Download</t>
  </si>
  <si>
    <t>Data Active</t>
  </si>
  <si>
    <t>Data Download</t>
  </si>
  <si>
    <t>Total size</t>
  </si>
  <si>
    <t>FLASH_SIZE</t>
  </si>
  <si>
    <t>DATA IMAGE SIZE</t>
  </si>
  <si>
    <t>FLASH PAGE SIZE</t>
  </si>
  <si>
    <t>LOADER SIZE</t>
  </si>
  <si>
    <t xml:space="preserve"> </t>
  </si>
  <si>
    <t>Total size Max</t>
  </si>
  <si>
    <t>size (B hex)</t>
  </si>
  <si>
    <t>size (B dec)</t>
  </si>
  <si>
    <t>Remaining free size</t>
  </si>
  <si>
    <t>size (KB)</t>
  </si>
  <si>
    <t>Area purpose</t>
  </si>
  <si>
    <t>BOOT project post build script</t>
  </si>
  <si>
    <t>Update target</t>
  </si>
  <si>
    <t>file</t>
  </si>
  <si>
    <t>Field</t>
  </si>
  <si>
    <t>Loader linker</t>
  </si>
  <si>
    <t>Source ref</t>
  </si>
  <si>
    <t>stm32h563xx_flash.icf</t>
  </si>
  <si>
    <t>LOADER_CODE_SIZE</t>
  </si>
  <si>
    <t>BOOT project prebuild script</t>
  </si>
  <si>
    <t xml:space="preserve">From </t>
  </si>
  <si>
    <t>image_macros_to_preprocess_bl2.c</t>
  </si>
  <si>
    <t>To</t>
  </si>
  <si>
    <t>image_macros_preprocessed_bl2.c</t>
  </si>
  <si>
    <t>Field required by postbuild</t>
  </si>
  <si>
    <t>RE_LOADER_CODE_OFFSET</t>
  </si>
  <si>
    <t>RE_LOADER_WRP_END</t>
  </si>
  <si>
    <t>RE_LOADER_CODE_START</t>
  </si>
  <si>
    <t>RE_LOADER</t>
  </si>
  <si>
    <t>Notes</t>
  </si>
  <si>
    <t>Required for update of</t>
  </si>
  <si>
    <t>OB flash &amp; provisioning script ext_loader flag</t>
  </si>
  <si>
    <t>system_stm32h5xx.c</t>
  </si>
  <si>
    <t>VECT_TAB_OFFSET</t>
  </si>
  <si>
    <t>LOADER_CODE_START</t>
  </si>
  <si>
    <t>RE_LOADER_CODE_SIZE</t>
  </si>
  <si>
    <t>Loader linker, ob_flash_prog script</t>
  </si>
  <si>
    <t>code size</t>
  </si>
  <si>
    <t xml:space="preserve">Loader system init </t>
  </si>
  <si>
    <t>VTOR</t>
  </si>
  <si>
    <t>ob_flash_prog script</t>
  </si>
  <si>
    <t>loader wrp start, loader prog @</t>
  </si>
  <si>
    <t>ob_flash_programming.bat</t>
  </si>
  <si>
    <t>Provisioning script</t>
  </si>
  <si>
    <t>loaderaddress</t>
  </si>
  <si>
    <t>Loader linker project</t>
  </si>
  <si>
    <t>img_config.bat</t>
  </si>
  <si>
    <t>ext_loader</t>
  </si>
  <si>
    <t>WRP</t>
  </si>
  <si>
    <t>HDP</t>
  </si>
  <si>
    <t>Nb pages</t>
  </si>
  <si>
    <t>wrpgrp1 loader start</t>
  </si>
  <si>
    <t>wrpgrp1 loader end</t>
  </si>
  <si>
    <t>RE_LOADER_WRP_START</t>
  </si>
  <si>
    <t>loader wrpgrp1 start</t>
  </si>
  <si>
    <t>loader wrpgrp1 end</t>
  </si>
  <si>
    <t>end</t>
  </si>
  <si>
    <t>Must be used if PRIMARY ONLY is Y</t>
  </si>
  <si>
    <t>DATA IMAGE SLOT</t>
  </si>
  <si>
    <t>UART Ymodem loader as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</si>
</sst>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/>
    <xf numFmtId="0" fontId="1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nny CHEN" id="{2390A384-3AA0-4A70-A3FD-56E9548FD135}" userId="S::sunny.chen@st.com::a300bb7f-0dc8-4f82-8096-8f7ada5fd4f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6-02-02T06:26:47.24" personId="{2390A384-3AA0-4A70-A3FD-56E9548FD135}" id="{E2B6AAF7-D7F2-41B2-BC0F-44162A34E3C2}">
    <text>Must be multiple of size of 4 pages because write protection is in unit of 4 pages</text>
  </threadedComment>
  <threadedComment ref="B11" dT="2026-02-02T06:27:12.60" personId="{2390A384-3AA0-4A70-A3FD-56E9548FD135}" id="{C782EF7C-234D-4A58-A172-7955C6803B86}">
    <text>Must be multiple of page size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E003-AB81-416D-8FF7-83C8B34AB91C}">
  <dimension ref="A1:L23"/>
  <sheetViews>
    <sheetView tabSelected="1" topLeftCell="A3" workbookViewId="0">
      <selection activeCell="F28" sqref="F28"/>
    </sheetView>
  </sheetViews>
  <sheetFormatPr defaultRowHeight="15" x14ac:dyDescent="0.25"/>
  <cols>
    <col min="1" max="1" width="19" bestFit="1" customWidth="1"/>
    <col min="6" max="6" width="11.28515625" bestFit="1" customWidth="1"/>
    <col min="7" max="7" width="8.7109375" bestFit="1" customWidth="1"/>
    <col min="8" max="8" width="11.28515625" bestFit="1" customWidth="1"/>
    <col min="9" max="9" width="9.28515625" bestFit="1" customWidth="1"/>
    <col min="10" max="10" width="5.28515625" bestFit="1" customWidth="1"/>
    <col min="11" max="11" width="5" bestFit="1" customWidth="1"/>
    <col min="12" max="12" width="5" customWidth="1"/>
    <col min="13" max="16" width="5.28515625" customWidth="1"/>
  </cols>
  <sheetData>
    <row r="1" spans="1:12" hidden="1" x14ac:dyDescent="0.25">
      <c r="B1" s="5" t="s">
        <v>11</v>
      </c>
    </row>
    <row r="2" spans="1:12" hidden="1" x14ac:dyDescent="0.25">
      <c r="B2" s="5" t="s">
        <v>6</v>
      </c>
    </row>
    <row r="3" spans="1:12" x14ac:dyDescent="0.25">
      <c r="A3" s="6" t="s">
        <v>4</v>
      </c>
      <c r="B3" s="7">
        <v>8000000</v>
      </c>
    </row>
    <row r="4" spans="1:12" x14ac:dyDescent="0.25">
      <c r="A4" s="6" t="s">
        <v>17</v>
      </c>
      <c r="B4" s="7">
        <v>200000</v>
      </c>
    </row>
    <row r="5" spans="1:12" x14ac:dyDescent="0.25">
      <c r="A5" s="6" t="s">
        <v>19</v>
      </c>
      <c r="B5" s="7">
        <v>2000</v>
      </c>
    </row>
    <row r="6" spans="1:12" x14ac:dyDescent="0.25">
      <c r="A6" t="s">
        <v>5</v>
      </c>
      <c r="B6" s="5" t="s">
        <v>6</v>
      </c>
    </row>
    <row r="7" spans="1:12" x14ac:dyDescent="0.25">
      <c r="A7" t="s">
        <v>7</v>
      </c>
      <c r="B7" s="5" t="s">
        <v>6</v>
      </c>
      <c r="C7" t="s">
        <v>74</v>
      </c>
    </row>
    <row r="8" spans="1:12" x14ac:dyDescent="0.25">
      <c r="A8" t="s">
        <v>10</v>
      </c>
      <c r="B8" s="5" t="s">
        <v>11</v>
      </c>
      <c r="C8" t="s">
        <v>76</v>
      </c>
    </row>
    <row r="9" spans="1:12" x14ac:dyDescent="0.25">
      <c r="A9" t="s">
        <v>20</v>
      </c>
      <c r="B9" s="4">
        <f>IF(($B$8="Y"),8000,0)</f>
        <v>8000</v>
      </c>
    </row>
    <row r="10" spans="1:12" x14ac:dyDescent="0.25">
      <c r="A10" t="s">
        <v>75</v>
      </c>
      <c r="B10" s="5" t="s">
        <v>11</v>
      </c>
    </row>
    <row r="11" spans="1:12" x14ac:dyDescent="0.25">
      <c r="A11" t="s">
        <v>18</v>
      </c>
      <c r="B11" s="5">
        <f>IF(($B$10="Y"),$B$5,0)</f>
        <v>2000</v>
      </c>
    </row>
    <row r="12" spans="1:12" x14ac:dyDescent="0.25">
      <c r="B12" s="5"/>
    </row>
    <row r="13" spans="1:12" x14ac:dyDescent="0.25">
      <c r="A13" s="15" t="s">
        <v>27</v>
      </c>
      <c r="B13" s="8" t="s">
        <v>3</v>
      </c>
      <c r="C13" s="8" t="s">
        <v>0</v>
      </c>
      <c r="D13" s="8" t="s">
        <v>1</v>
      </c>
      <c r="E13" s="8" t="s">
        <v>73</v>
      </c>
      <c r="F13" s="8" t="s">
        <v>23</v>
      </c>
      <c r="G13" s="8" t="s">
        <v>26</v>
      </c>
      <c r="H13" s="9" t="s">
        <v>24</v>
      </c>
      <c r="I13" s="9" t="s">
        <v>67</v>
      </c>
      <c r="J13" s="26" t="s">
        <v>65</v>
      </c>
      <c r="K13" s="26" t="s">
        <v>66</v>
      </c>
      <c r="L13" s="29"/>
    </row>
    <row r="14" spans="1:12" x14ac:dyDescent="0.25">
      <c r="A14" s="10" t="s">
        <v>2</v>
      </c>
      <c r="B14" s="3" t="s">
        <v>2</v>
      </c>
      <c r="C14" s="3">
        <v>0</v>
      </c>
      <c r="D14" s="3" t="str">
        <f>DEC2HEX(HEX2DEC($B$3)+HEX2DEC(C14))</f>
        <v>8000000</v>
      </c>
      <c r="E14" s="3" t="str">
        <f>DEC2HEX(HEX2DEC(D14)+HEX2DEC(F14)-1)</f>
        <v>8017FFF</v>
      </c>
      <c r="F14" s="3">
        <v>18000</v>
      </c>
      <c r="G14" s="3">
        <f>H14/1024</f>
        <v>96</v>
      </c>
      <c r="H14" s="2">
        <f>HEX2DEC(F14)</f>
        <v>98304</v>
      </c>
      <c r="I14" s="17">
        <f>H14/HEX2DEC($B$5)</f>
        <v>12</v>
      </c>
      <c r="J14" s="17" t="s">
        <v>11</v>
      </c>
      <c r="K14" s="17" t="s">
        <v>11</v>
      </c>
      <c r="L14" s="27"/>
    </row>
    <row r="15" spans="1:12" x14ac:dyDescent="0.25">
      <c r="A15" s="10" t="s">
        <v>8</v>
      </c>
      <c r="B15" s="3" t="s">
        <v>9</v>
      </c>
      <c r="C15" s="3" t="str">
        <f>DEC2HEX(HEX2DEC(C14)+HEX2DEC(F14))</f>
        <v>18000</v>
      </c>
      <c r="D15" s="3" t="str">
        <f>DEC2HEX(HEX2DEC($B$3)+HEX2DEC(C15))</f>
        <v>8018000</v>
      </c>
      <c r="E15" s="3" t="str">
        <f t="shared" ref="E15:E20" si="0">DEC2HEX(HEX2DEC(D15)+HEX2DEC(F15)-1)</f>
        <v>8027FFF</v>
      </c>
      <c r="F15" s="3">
        <f>IF(($B$6="N"),IF($B$7="N",10000,0),0)</f>
        <v>10000</v>
      </c>
      <c r="G15" s="3">
        <f t="shared" ref="G15:G23" si="1">H15/1024</f>
        <v>64</v>
      </c>
      <c r="H15" s="2">
        <f t="shared" ref="H15:H19" si="2">HEX2DEC(F15)</f>
        <v>65536</v>
      </c>
      <c r="I15" s="17">
        <f t="shared" ref="I15:I19" si="3">H15/HEX2DEC($B$5)</f>
        <v>8</v>
      </c>
      <c r="J15" s="17" t="s">
        <v>6</v>
      </c>
      <c r="K15" s="17" t="s">
        <v>11</v>
      </c>
      <c r="L15" s="27"/>
    </row>
    <row r="16" spans="1:12" x14ac:dyDescent="0.25">
      <c r="A16" s="10" t="s">
        <v>14</v>
      </c>
      <c r="B16" s="3">
        <v>4</v>
      </c>
      <c r="C16" s="3" t="str">
        <f>DEC2HEX(HEX2DEC(C15)+HEX2DEC(F15))</f>
        <v>28000</v>
      </c>
      <c r="D16" s="3" t="str">
        <f>DEC2HEX(HEX2DEC($B$3)+HEX2DEC(C16))</f>
        <v>8028000</v>
      </c>
      <c r="E16" s="3" t="str">
        <f t="shared" si="0"/>
        <v>8029FFF</v>
      </c>
      <c r="F16" s="3">
        <f>$B$11</f>
        <v>2000</v>
      </c>
      <c r="G16" s="3">
        <f t="shared" si="1"/>
        <v>8</v>
      </c>
      <c r="H16" s="2">
        <f t="shared" si="2"/>
        <v>8192</v>
      </c>
      <c r="I16" s="17">
        <f t="shared" si="3"/>
        <v>1</v>
      </c>
      <c r="J16" s="17" t="s">
        <v>6</v>
      </c>
      <c r="K16" s="17" t="s">
        <v>6</v>
      </c>
      <c r="L16" s="27"/>
    </row>
    <row r="17" spans="1:12" x14ac:dyDescent="0.25">
      <c r="A17" s="10" t="s">
        <v>12</v>
      </c>
      <c r="B17" s="3">
        <v>0</v>
      </c>
      <c r="C17" s="3" t="str">
        <f t="shared" ref="C17:C19" si="4">DEC2HEX(HEX2DEC(C16)+HEX2DEC(F16))</f>
        <v>2A000</v>
      </c>
      <c r="D17" s="3" t="str">
        <f t="shared" ref="D17:D19" si="5">DEC2HEX(HEX2DEC($B$3)+HEX2DEC(C17))</f>
        <v>802A000</v>
      </c>
      <c r="E17" s="3" t="str">
        <f t="shared" si="0"/>
        <v>810FFFF</v>
      </c>
      <c r="F17" s="3" t="str">
        <f>DEC2HEX(IF($B$6="N",ROUNDDOWN((HEX2DEC(B4)-HEX2DEC(F14)-HEX2DEC(F15)-HEX2DEC(F20)-HEX2DEC(F16)-HEX2DEC(F19))/2/HEX2DEC($B$5),0)*HEX2DEC($B$5),(HEX2DEC(B4)-HEX2DEC(F14)-HEX2DEC(F15)-HEX2DEC(F20)-HEX2DEC(F16)-HEX2DEC(F19))))</f>
        <v>E6000</v>
      </c>
      <c r="G17" s="3">
        <f t="shared" si="1"/>
        <v>920</v>
      </c>
      <c r="H17" s="2">
        <f t="shared" si="2"/>
        <v>942080</v>
      </c>
      <c r="I17" s="17">
        <f t="shared" si="3"/>
        <v>115</v>
      </c>
      <c r="J17" s="17" t="s">
        <v>6</v>
      </c>
      <c r="K17" s="17" t="s">
        <v>6</v>
      </c>
      <c r="L17" s="27"/>
    </row>
    <row r="18" spans="1:12" x14ac:dyDescent="0.25">
      <c r="A18" s="10" t="s">
        <v>13</v>
      </c>
      <c r="B18" s="3">
        <v>2</v>
      </c>
      <c r="C18" s="3" t="str">
        <f t="shared" si="4"/>
        <v>110000</v>
      </c>
      <c r="D18" s="3" t="str">
        <f t="shared" si="5"/>
        <v>8110000</v>
      </c>
      <c r="E18" s="3" t="str">
        <f t="shared" si="0"/>
        <v>81F5FFF</v>
      </c>
      <c r="F18" s="3" t="str">
        <f>IF($B$6="N",F17,0)</f>
        <v>E6000</v>
      </c>
      <c r="G18" s="3">
        <f t="shared" si="1"/>
        <v>920</v>
      </c>
      <c r="H18" s="2">
        <f t="shared" si="2"/>
        <v>942080</v>
      </c>
      <c r="I18" s="17">
        <f t="shared" si="3"/>
        <v>115</v>
      </c>
      <c r="J18" s="17" t="s">
        <v>6</v>
      </c>
      <c r="K18" s="17" t="s">
        <v>6</v>
      </c>
      <c r="L18" s="27"/>
    </row>
    <row r="19" spans="1:12" x14ac:dyDescent="0.25">
      <c r="A19" s="10" t="s">
        <v>15</v>
      </c>
      <c r="B19" s="3">
        <v>6</v>
      </c>
      <c r="C19" s="3" t="str">
        <f t="shared" si="4"/>
        <v>1F6000</v>
      </c>
      <c r="D19" s="3" t="str">
        <f t="shared" si="5"/>
        <v>81F6000</v>
      </c>
      <c r="E19" s="3" t="str">
        <f t="shared" si="0"/>
        <v>81F7FFF</v>
      </c>
      <c r="F19" s="3">
        <f>IF($B$10="Y",F16,0)</f>
        <v>2000</v>
      </c>
      <c r="G19" s="3">
        <f t="shared" si="1"/>
        <v>8</v>
      </c>
      <c r="H19" s="2">
        <f t="shared" si="2"/>
        <v>8192</v>
      </c>
      <c r="I19" s="17">
        <f t="shared" si="3"/>
        <v>1</v>
      </c>
      <c r="J19" s="17" t="s">
        <v>6</v>
      </c>
      <c r="K19" s="17" t="s">
        <v>6</v>
      </c>
      <c r="L19" s="27"/>
    </row>
    <row r="20" spans="1:12" x14ac:dyDescent="0.25">
      <c r="A20" s="10" t="s">
        <v>10</v>
      </c>
      <c r="B20" s="3" t="s">
        <v>10</v>
      </c>
      <c r="C20" s="3" t="str">
        <f>DEC2HEX(HEX2DEC(C19)+HEX2DEC(F19))</f>
        <v>1F8000</v>
      </c>
      <c r="D20" s="3" t="str">
        <f>DEC2HEX(HEX2DEC($B$3)+HEX2DEC(C20))</f>
        <v>81F8000</v>
      </c>
      <c r="E20" s="3" t="str">
        <f t="shared" si="0"/>
        <v>81FFFFF</v>
      </c>
      <c r="F20" s="3">
        <f>$B$9</f>
        <v>8000</v>
      </c>
      <c r="G20" s="3">
        <f>H20/1024</f>
        <v>32</v>
      </c>
      <c r="H20" s="2">
        <f>HEX2DEC(F20)</f>
        <v>32768</v>
      </c>
      <c r="I20" s="17">
        <f>H20/HEX2DEC($B$5)</f>
        <v>4</v>
      </c>
      <c r="J20" s="17" t="s">
        <v>11</v>
      </c>
      <c r="K20" s="17" t="s">
        <v>6</v>
      </c>
      <c r="L20" s="27"/>
    </row>
    <row r="21" spans="1:12" x14ac:dyDescent="0.25">
      <c r="A21" s="1" t="s">
        <v>16</v>
      </c>
      <c r="B21" s="1"/>
      <c r="C21" s="1"/>
      <c r="D21" s="1"/>
      <c r="E21" s="1"/>
      <c r="F21" s="12" t="str">
        <f>DEC2HEX(H21)</f>
        <v>200000</v>
      </c>
      <c r="G21" s="4">
        <f t="shared" si="1"/>
        <v>2048</v>
      </c>
      <c r="H21" s="13">
        <f>SUM(H14:H20)</f>
        <v>2097152</v>
      </c>
      <c r="I21">
        <f>H21/HEX2DEC($B$5)</f>
        <v>256</v>
      </c>
    </row>
    <row r="22" spans="1:12" x14ac:dyDescent="0.25">
      <c r="A22" s="11" t="s">
        <v>22</v>
      </c>
      <c r="B22" t="s">
        <v>21</v>
      </c>
      <c r="F22" s="13">
        <f>B4</f>
        <v>200000</v>
      </c>
      <c r="G22" s="4">
        <f t="shared" si="1"/>
        <v>2048</v>
      </c>
      <c r="H22" s="13">
        <f>HEX2DEC(F22)</f>
        <v>2097152</v>
      </c>
      <c r="I22">
        <f t="shared" ref="I22:I23" si="6">H22/HEX2DEC($B$5)</f>
        <v>256</v>
      </c>
    </row>
    <row r="23" spans="1:12" x14ac:dyDescent="0.25">
      <c r="A23" s="11" t="s">
        <v>25</v>
      </c>
      <c r="F23" s="13" t="str">
        <f>DEC2HEX(H23)</f>
        <v>0</v>
      </c>
      <c r="G23" s="4">
        <f t="shared" si="1"/>
        <v>0</v>
      </c>
      <c r="H23" s="13">
        <f>H22-H21</f>
        <v>0</v>
      </c>
      <c r="I23">
        <f t="shared" si="6"/>
        <v>0</v>
      </c>
    </row>
  </sheetData>
  <conditionalFormatting sqref="B6:B8 B10">
    <cfRule type="cellIs" dxfId="3" priority="3" operator="equal">
      <formula>"Y"</formula>
    </cfRule>
    <cfRule type="cellIs" dxfId="2" priority="4" operator="equal">
      <formula>"N"</formula>
    </cfRule>
  </conditionalFormatting>
  <conditionalFormatting sqref="J14:L20">
    <cfRule type="cellIs" dxfId="1" priority="1" operator="equal">
      <formula>"N"</formula>
    </cfRule>
    <cfRule type="cellIs" dxfId="0" priority="2" operator="equal">
      <formula>"Y"</formula>
    </cfRule>
  </conditionalFormatting>
  <dataValidations count="2">
    <dataValidation type="list" allowBlank="1" showInputMessage="1" showErrorMessage="1" sqref="B6:B8 B10 J14:L20" xr:uid="{EBA8029F-00D4-49E4-8B84-75C1EA9F44E8}">
      <formula1>$B$1:$B$2</formula1>
    </dataValidation>
    <dataValidation type="decimal" operator="lessThanOrEqual" allowBlank="1" showInputMessage="1" showErrorMessage="1" errorTitle="Error" error="Total size consumed cannot exceed total user flash size!" sqref="H21" xr:uid="{1D140836-F0E9-4E03-84AE-026A1CDC9976}">
      <formula1>H22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7D97-B7AB-4B6E-A748-8501DA74A541}">
  <dimension ref="A1:H17"/>
  <sheetViews>
    <sheetView workbookViewId="0">
      <selection activeCell="C33" sqref="C33"/>
    </sheetView>
  </sheetViews>
  <sheetFormatPr defaultRowHeight="15" x14ac:dyDescent="0.25"/>
  <cols>
    <col min="1" max="1" width="27" bestFit="1" customWidth="1"/>
    <col min="2" max="2" width="41.140625" bestFit="1" customWidth="1"/>
    <col min="3" max="3" width="28.7109375" bestFit="1" customWidth="1"/>
    <col min="5" max="5" width="28.42578125" bestFit="1" customWidth="1"/>
    <col min="6" max="6" width="25.28515625" bestFit="1" customWidth="1"/>
    <col min="7" max="7" width="20" bestFit="1" customWidth="1"/>
    <col min="8" max="8" width="24.28515625" bestFit="1" customWidth="1"/>
    <col min="9" max="9" width="25.28515625" bestFit="1" customWidth="1"/>
    <col min="10" max="10" width="20" bestFit="1" customWidth="1"/>
    <col min="11" max="11" width="24.28515625" bestFit="1" customWidth="1"/>
  </cols>
  <sheetData>
    <row r="1" spans="1:8" x14ac:dyDescent="0.25">
      <c r="A1" s="6" t="s">
        <v>36</v>
      </c>
      <c r="E1" s="6" t="s">
        <v>28</v>
      </c>
    </row>
    <row r="2" spans="1:8" x14ac:dyDescent="0.25">
      <c r="A2" t="s">
        <v>37</v>
      </c>
      <c r="B2" t="s">
        <v>38</v>
      </c>
      <c r="E2" s="18" t="s">
        <v>29</v>
      </c>
      <c r="F2" s="18" t="s">
        <v>30</v>
      </c>
      <c r="G2" s="18" t="s">
        <v>31</v>
      </c>
      <c r="H2" s="18" t="s">
        <v>33</v>
      </c>
    </row>
    <row r="3" spans="1:8" x14ac:dyDescent="0.25">
      <c r="A3" t="s">
        <v>39</v>
      </c>
      <c r="B3" t="s">
        <v>40</v>
      </c>
      <c r="E3" s="14" t="s">
        <v>62</v>
      </c>
      <c r="F3" s="19" t="s">
        <v>34</v>
      </c>
      <c r="G3" s="20" t="s">
        <v>51</v>
      </c>
      <c r="H3" s="20" t="str">
        <f>A6</f>
        <v>RE_LOADER_CODE_START</v>
      </c>
    </row>
    <row r="4" spans="1:8" x14ac:dyDescent="0.25">
      <c r="A4" s="6" t="s">
        <v>41</v>
      </c>
      <c r="B4" s="6" t="s">
        <v>47</v>
      </c>
      <c r="C4" t="s">
        <v>46</v>
      </c>
      <c r="E4" s="30"/>
      <c r="F4" s="21"/>
      <c r="G4" s="20" t="s">
        <v>35</v>
      </c>
      <c r="H4" s="20" t="str">
        <f>A7</f>
        <v>RE_LOADER_CODE_SIZE</v>
      </c>
    </row>
    <row r="5" spans="1:8" x14ac:dyDescent="0.25">
      <c r="A5" s="28" t="s">
        <v>42</v>
      </c>
      <c r="B5" t="s">
        <v>55</v>
      </c>
      <c r="C5" t="s">
        <v>56</v>
      </c>
      <c r="E5" s="25"/>
      <c r="F5" s="20" t="s">
        <v>49</v>
      </c>
      <c r="G5" s="20" t="s">
        <v>50</v>
      </c>
      <c r="H5" s="20" t="str">
        <f>A5</f>
        <v>RE_LOADER_CODE_OFFSET</v>
      </c>
    </row>
    <row r="6" spans="1:8" x14ac:dyDescent="0.25">
      <c r="A6" s="28" t="s">
        <v>44</v>
      </c>
      <c r="B6" s="16" t="s">
        <v>53</v>
      </c>
      <c r="C6" t="s">
        <v>58</v>
      </c>
      <c r="E6" s="14" t="s">
        <v>60</v>
      </c>
      <c r="F6" s="22" t="s">
        <v>59</v>
      </c>
      <c r="G6" s="20" t="s">
        <v>68</v>
      </c>
      <c r="H6" s="20" t="str">
        <f>A7</f>
        <v>RE_LOADER_CODE_SIZE</v>
      </c>
    </row>
    <row r="7" spans="1:8" x14ac:dyDescent="0.25">
      <c r="A7" s="28" t="s">
        <v>52</v>
      </c>
      <c r="B7" t="s">
        <v>32</v>
      </c>
      <c r="C7" t="s">
        <v>54</v>
      </c>
      <c r="E7" s="30"/>
      <c r="F7" s="23"/>
      <c r="G7" s="20" t="s">
        <v>69</v>
      </c>
      <c r="H7" s="20" t="str">
        <f>A9</f>
        <v>RE_LOADER_WRP_END</v>
      </c>
    </row>
    <row r="8" spans="1:8" x14ac:dyDescent="0.25">
      <c r="A8" s="28" t="s">
        <v>70</v>
      </c>
      <c r="B8" t="s">
        <v>57</v>
      </c>
      <c r="C8" t="s">
        <v>71</v>
      </c>
      <c r="E8" s="25"/>
      <c r="F8" s="24"/>
      <c r="G8" s="20" t="s">
        <v>61</v>
      </c>
      <c r="H8" s="20" t="str">
        <f>A6</f>
        <v>RE_LOADER_CODE_START</v>
      </c>
    </row>
    <row r="9" spans="1:8" x14ac:dyDescent="0.25">
      <c r="A9" s="28" t="s">
        <v>43</v>
      </c>
      <c r="B9" t="s">
        <v>57</v>
      </c>
      <c r="C9" t="s">
        <v>72</v>
      </c>
      <c r="E9" s="20"/>
      <c r="F9" s="20" t="s">
        <v>63</v>
      </c>
      <c r="G9" s="20" t="s">
        <v>64</v>
      </c>
      <c r="H9" s="20" t="str">
        <f>A10</f>
        <v>RE_LOADER</v>
      </c>
    </row>
    <row r="10" spans="1:8" x14ac:dyDescent="0.25">
      <c r="A10" s="28" t="s">
        <v>45</v>
      </c>
      <c r="B10" t="s">
        <v>48</v>
      </c>
      <c r="E10" s="20"/>
      <c r="F10" s="20"/>
      <c r="G10" s="20"/>
      <c r="H10" s="20"/>
    </row>
    <row r="11" spans="1:8" x14ac:dyDescent="0.25">
      <c r="E11" s="20"/>
      <c r="F11" s="20"/>
      <c r="G11" s="20"/>
      <c r="H11" s="20"/>
    </row>
    <row r="12" spans="1:8" x14ac:dyDescent="0.25">
      <c r="E12" s="20"/>
      <c r="F12" s="20"/>
      <c r="G12" s="20"/>
      <c r="H12" s="20"/>
    </row>
    <row r="13" spans="1:8" x14ac:dyDescent="0.25">
      <c r="E13" s="20"/>
      <c r="F13" s="20"/>
      <c r="G13" s="20"/>
      <c r="H13" s="20"/>
    </row>
    <row r="14" spans="1:8" x14ac:dyDescent="0.25">
      <c r="E14" s="20"/>
      <c r="F14" s="20"/>
      <c r="G14" s="20"/>
      <c r="H14" s="20"/>
    </row>
    <row r="15" spans="1:8" x14ac:dyDescent="0.25">
      <c r="E15" s="20"/>
      <c r="F15" s="20"/>
      <c r="G15" s="20"/>
      <c r="H15" s="20"/>
    </row>
    <row r="16" spans="1:8" x14ac:dyDescent="0.25">
      <c r="E16" s="20"/>
      <c r="F16" s="20"/>
      <c r="G16" s="20"/>
      <c r="H16" s="20"/>
    </row>
    <row r="17" spans="5:8" x14ac:dyDescent="0.25">
      <c r="E17" s="20"/>
      <c r="F17" s="20"/>
      <c r="G17" s="20"/>
      <c r="H17" s="20"/>
    </row>
  </sheetData>
  <mergeCells count="2">
    <mergeCell ref="F3:F4"/>
    <mergeCell ref="F6:F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OEMiROT Flash Layout</vt:lpstr>
      <vt:lpstr>Build Actions</vt:lpstr>
    </vt:vector>
  </TitlesOfParts>
  <Company>STMicroelectronics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CHEN</dc:creator>
  <cp:lastModifiedBy>Sunny CHEN</cp:lastModifiedBy>
  <dcterms:created xsi:type="dcterms:W3CDTF">2026-01-30T09:25:41Z</dcterms:created>
  <dcterms:modified xsi:type="dcterms:W3CDTF">2026-02-03T02:33:57Z</dcterms:modified>
</cp:coreProperties>
</file>